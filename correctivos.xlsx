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s\Downloads\"/>
    </mc:Choice>
  </mc:AlternateContent>
  <xr:revisionPtr revIDLastSave="0" documentId="13_ncr:1_{2043BED4-8EBD-4BEA-9D9D-FEC5664192F8}" xr6:coauthVersionLast="47" xr6:coauthVersionMax="47" xr10:uidLastSave="{00000000-0000-0000-0000-000000000000}"/>
  <bookViews>
    <workbookView xWindow="-120" yWindow="-120" windowWidth="29040" windowHeight="15720" xr2:uid="{607337CA-9C15-4C99-B5FC-9748130680C4}"/>
  </bookViews>
  <sheets>
    <sheet name="HECTOR CEDILLO" sheetId="1" r:id="rId1"/>
    <sheet name="TAISSIR MONDRAG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L74" i="1" s="1"/>
  <c r="K77" i="1"/>
  <c r="L77" i="1" s="1"/>
  <c r="K76" i="1"/>
  <c r="L76" i="1" s="1"/>
  <c r="K75" i="1"/>
  <c r="L75" i="1" s="1"/>
  <c r="K73" i="1"/>
  <c r="L73" i="1" s="1"/>
  <c r="K72" i="1"/>
  <c r="L72" i="1" s="1"/>
  <c r="K71" i="1" l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3" i="2"/>
  <c r="L3" i="2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1" i="1"/>
  <c r="L51" i="1" s="1"/>
  <c r="K52" i="1"/>
  <c r="L52" i="1" s="1"/>
  <c r="K53" i="1"/>
  <c r="L53" i="1" s="1"/>
  <c r="K50" i="1"/>
  <c r="L50" i="1" s="1"/>
  <c r="K49" i="1"/>
  <c r="L49" i="1" s="1"/>
  <c r="K2" i="1" l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L26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L2" i="1" l="1"/>
</calcChain>
</file>

<file path=xl/sharedStrings.xml><?xml version="1.0" encoding="utf-8"?>
<sst xmlns="http://schemas.openxmlformats.org/spreadsheetml/2006/main" count="433" uniqueCount="243">
  <si>
    <t>NUMERO CM</t>
  </si>
  <si>
    <t>A85102088</t>
  </si>
  <si>
    <t>A85102115</t>
  </si>
  <si>
    <t>A85102117</t>
  </si>
  <si>
    <t>A85102119</t>
  </si>
  <si>
    <t>A85102120</t>
  </si>
  <si>
    <t>A85102122</t>
  </si>
  <si>
    <t>A85102147</t>
  </si>
  <si>
    <t>A85102148</t>
  </si>
  <si>
    <t>A85102149</t>
  </si>
  <si>
    <t>A85102150</t>
  </si>
  <si>
    <t>A85102151</t>
  </si>
  <si>
    <t>A85102154</t>
  </si>
  <si>
    <t>A85102155</t>
  </si>
  <si>
    <t>A85102156</t>
  </si>
  <si>
    <t>A85102181</t>
  </si>
  <si>
    <t>DESCRIPCIÓN DE CORRECTIVO</t>
  </si>
  <si>
    <t>REFACCIONAMIENTO DE LICUADORAS PPP</t>
  </si>
  <si>
    <t>ASIENTOS FALTANTES BAÑOS H2 HOMBRES CBA</t>
  </si>
  <si>
    <t>ASIENTOS FALTANTES EN BAÑOS B22 MUJERES CLC</t>
  </si>
  <si>
    <t>ASIENTOS FALTANTES EN BAÑOS B22 HOMBRES CLC</t>
  </si>
  <si>
    <t>ASIENTOS FALTANTES EN BAÑOS B12 MUJERES CLC</t>
  </si>
  <si>
    <t>ASIENTOS FALTANTES EN BAÑOS C24 HOMBRES CLC</t>
  </si>
  <si>
    <t>ASIENTOS FALTANTES EN BAÑOS B02 HOMBRES CLC</t>
  </si>
  <si>
    <t>ASIENTOS FALTANTES BAÑOS OFICINAS HOMBRES CBA</t>
  </si>
  <si>
    <t>ASIENTOS FALTANTES BAÑOS OFICINAS  MUJERES CBA</t>
  </si>
  <si>
    <t>ASIENTOS FALTANTES BAÑOS G16 HOMBRES CBA</t>
  </si>
  <si>
    <t>ASIENTOS FALTANTES BAÑOS OFICINAS HOMBRES PINTURA</t>
  </si>
  <si>
    <t>ASIENTOS FALTANTES BAÑOS DE MUJERES J3 DE PLANTA 1</t>
  </si>
  <si>
    <t>JALADERAS FALTANTE PARA MAMPARAS EN BAÑOS DE PLANTA 1</t>
  </si>
  <si>
    <t>JALADERAS FALTANTE PARA MAMPARAS EN BAÑOS DE PLANTA 2</t>
  </si>
  <si>
    <t>REFACCIONAMIENTO DE CHUPON UNIVERSAL PARA TRAMPA LAVABO O FREGADERO</t>
  </si>
  <si>
    <t>FECHA INIC</t>
  </si>
  <si>
    <t>A85103938</t>
  </si>
  <si>
    <t>A85103989</t>
  </si>
  <si>
    <t>A85104012</t>
  </si>
  <si>
    <t>A85104013</t>
  </si>
  <si>
    <t>REEMPLAZO DE MANGUERA FLEXIBLE INOX PARA SARTENETA DE POPOPIRAMIDES</t>
  </si>
  <si>
    <t>REEMPLAZO DE RESISTENCIAS DAÑADAS EN MARMITA DE COMEDOR EL ANGEL</t>
  </si>
  <si>
    <t>SOLICITUD DE REFACCIONES PARA BAÑOS MARIAS</t>
  </si>
  <si>
    <t>SOLICITUD DE ASIENTO DE WC DAÑADO EN BANOS H2 HOMBRES CBA</t>
  </si>
  <si>
    <t>7 JALADERAS DE ACERO INOXIDABLE TIPO 304 DE LA LINEA HEAVY MARCA SANIMODUL</t>
  </si>
  <si>
    <t>4 JALADERAS PARA MAMPARA DE ACERO INOXIDABLE TIPO 304 LINEA HEAVY DE MARC SANIMODUL</t>
  </si>
  <si>
    <r>
      <rPr>
        <b/>
        <sz val="12"/>
        <color theme="1"/>
        <rFont val="Aptos Narrow"/>
        <family val="2"/>
        <scheme val="minor"/>
      </rPr>
      <t>1-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JUEGO MECÁNICO / CLAVE PALISLK022  --&gt; 2 PIEZAS 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EMPAQUE O'RING JGO. MEC. / CLAVE: PALISLS003  --&gt; 2 PIEZAS  </t>
    </r>
    <r>
      <rPr>
        <b/>
        <sz val="12"/>
        <color theme="1"/>
        <rFont val="Aptos Narrow"/>
        <family val="2"/>
        <scheme val="minor"/>
      </rPr>
      <t xml:space="preserve">3- </t>
    </r>
    <r>
      <rPr>
        <sz val="11"/>
        <color theme="1"/>
        <rFont val="Aptos Narrow"/>
        <family val="2"/>
        <scheme val="minor"/>
      </rPr>
      <t xml:space="preserve">TUERCA JGO. MEC. / CLAVE: PALISLP005  --&gt; 2 PIEZAS  </t>
    </r>
    <r>
      <rPr>
        <b/>
        <sz val="12"/>
        <color theme="1"/>
        <rFont val="Aptos Narrow"/>
        <family val="2"/>
        <scheme val="minor"/>
      </rPr>
      <t>4-</t>
    </r>
    <r>
      <rPr>
        <sz val="12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HEXAGONAL / CLAVE: PALESSLA005  --&gt; 2 PIEZAS </t>
    </r>
    <r>
      <rPr>
        <b/>
        <sz val="12"/>
        <color theme="1"/>
        <rFont val="Aptos Narrow"/>
        <family val="2"/>
        <scheme val="minor"/>
      </rPr>
      <t xml:space="preserve"> 5-</t>
    </r>
    <r>
      <rPr>
        <sz val="11"/>
        <color theme="1"/>
        <rFont val="Aptos Narrow"/>
        <family val="2"/>
        <scheme val="minor"/>
      </rPr>
      <t xml:space="preserve"> INTERRUPTOR C/FOCO PILOTO / CLAVE: SG00SGS019  --&gt; 2 PIEZAS</t>
    </r>
  </si>
  <si>
    <t>CHUPON UNIVERSAL TRAMPA LAVABO O FREGADERO 2". MARCA: COFLEX.  MODELO: P-B9030 (10 piezas)</t>
  </si>
  <si>
    <t>FAVOR DE SOLICITAR MANGUERA FLEXIBLE DE ACERO INOXIDABLE DE 68" MARCA: T&amp;S BRASS  MODELO: B-0068-H2A  NUMERO DE PZS: 2</t>
  </si>
  <si>
    <t>Favor de solicitar Tres Bancos de resistencia para Marmita eléctrica inter. No.de parte según manual es 23.9.21 Con empaque de Silicon Mod MEV-60   No. de equipo #1 de cocina el ángel  MANUAL DE CONSULTA: Intertecnica S.A de C.V, Instructivo número MEV-20 a MEV-80</t>
  </si>
  <si>
    <t>FAVOR DE SOLICITAR TERMINAL BLOCK DE CONECTORES ROBUSTOS DE 4 ESPACIOS // Terminal Block, 4 Gang, 30 Amp, 600V (1 MIN) // Item: 70014 // Voltage Rating  600V AC/DC // Amperage Rating  30 Amp // Connection Contacts 4 Gang Style // Screw-Type Stud // Size M4 // Standards RoHS</t>
  </si>
  <si>
    <t xml:space="preserve">1 asiento para WC </t>
  </si>
  <si>
    <t xml:space="preserve">2 asiento para WC </t>
  </si>
  <si>
    <t>A85175160</t>
  </si>
  <si>
    <t>SOLICITUD DE REFACCIONES PARA REFRIGERADOR ASBER CLC Y CBA</t>
  </si>
  <si>
    <r>
      <t xml:space="preserve">REJILLAS PARA REFRIGERADOR ASBER - No.de referencia: 12190683 - 19-1/4x25-3/8in in WIRE SHELF, Parrilla 488x644mm - No.de piezas = 12 </t>
    </r>
    <r>
      <rPr>
        <b/>
        <sz val="14"/>
        <color theme="1"/>
        <rFont val="Aptos Narrow"/>
        <family val="2"/>
        <scheme val="minor"/>
      </rPr>
      <t>/////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CLIPS SS/CLIP ACERO INOXIDABLE - No.de referencia: 12188096 - No.de piezas = 24</t>
    </r>
  </si>
  <si>
    <t>A85175775</t>
  </si>
  <si>
    <t>SOLICITUD PARA TAZA DE WC EN BAÑOS DE OFICINAS DE CLC</t>
  </si>
  <si>
    <t>A85175777</t>
  </si>
  <si>
    <t>INTERRUPTOR DAÑADO EN LICUADORA INTERNATIONAL DEL ANGEL</t>
  </si>
  <si>
    <t>INTERRUPTOR C/FOCOPILOTO No.de PARTES: SG00SGS019, MARCA: INTERNATIONAL, No de Piezas: 2</t>
  </si>
  <si>
    <t>SOLICITUD PARA TAZA DE WC EN BAÑOS DE COMEDORES DE CLC</t>
  </si>
  <si>
    <t>A85204408</t>
  </si>
  <si>
    <t>A85032630</t>
  </si>
  <si>
    <t>SONDA NUCLEO EN RATIONAL DE COMEDOR EL ANGEL</t>
  </si>
  <si>
    <t>Sonda núcleo SCC, SCC_WE 61-102 desde 04/2004 VE 1 ea///Num.cat: RA4000606P/// PARA MODELO: SCC WE 201 // Num.Serie: E21SH13112375603</t>
  </si>
  <si>
    <t>A85311075</t>
  </si>
  <si>
    <t>SOLICITUD DE FUSIBLES DE COCINA DE BAÑOS MARIA EN CBA</t>
  </si>
  <si>
    <t>MARCA: MERCURY FUSIBLE RENOVABLE /// MODELO: CF210 /// CAPACIDADES: 30 A  250 V</t>
  </si>
  <si>
    <t>CANTIDAD</t>
  </si>
  <si>
    <t>1 PZ</t>
  </si>
  <si>
    <t>20 PZ (UNA CAJA)</t>
  </si>
  <si>
    <t>A85311123</t>
  </si>
  <si>
    <t>CAMBIO DE BATERIAS EN PAPELERAS DE BAÑOS CBA</t>
  </si>
  <si>
    <t>DOS PAQUETES DE 6 BATERIAS ALCALINAS TIPO D // MODELO: BAT-D6 // MARCA: STEREN</t>
  </si>
  <si>
    <t>2 PAQUETES</t>
  </si>
  <si>
    <t>BATERIAS DE LITIO DE 6V TIPO CRP2 // MODELO BAT-CRP2 // MARCA: STEREN</t>
  </si>
  <si>
    <t>12 PZ</t>
  </si>
  <si>
    <t>A85311150</t>
  </si>
  <si>
    <t>CAMBIO DE BATERIAS FLUXOMETRO EN BAÑOS DE CBA</t>
  </si>
  <si>
    <t>SOLICITUD DE ASIENTO PARA WC EN BAÑOS DE HOMBRES G16 DE CBA</t>
  </si>
  <si>
    <t>A85311212</t>
  </si>
  <si>
    <t>MARCA: HOLKIE// MEDIDAS: 4 INCH // ASIN: ‎B08L4DFXBL // MODELO: ‎PBJL4B</t>
  </si>
  <si>
    <t>8 PZ</t>
  </si>
  <si>
    <t>A85311268</t>
  </si>
  <si>
    <t>SOLICITUD DE REFACCION DE RUEDAS PARA GONDOLAS DE PLASTICO EN CBA</t>
  </si>
  <si>
    <t>A85312344</t>
  </si>
  <si>
    <t>ASIENTO ROTO EN WC BAÑO MUJERES P4 COL.M8</t>
  </si>
  <si>
    <t>MARCA: ROBERTSHAW // MODELO: MPA-V439-UNM // 240 Vac/15 A</t>
  </si>
  <si>
    <t>10 pz</t>
  </si>
  <si>
    <t>TERMISTORES DAÑADOS EN BAÑO MARIA COMEDOR EL ÁNGEL</t>
  </si>
  <si>
    <t>A85313297</t>
  </si>
  <si>
    <t>PAQUETE CON 50 PIEZAS DE EMPAQUES DE NEOPRENO PLANO PARA LLAVE 6 MM 1/4</t>
  </si>
  <si>
    <t>A85313310</t>
  </si>
  <si>
    <t>1 PAQUETE</t>
  </si>
  <si>
    <t>SOLICITUD DE EMPAQUES DE NEOPRENO PLANO PARA LLAVE 6mm</t>
  </si>
  <si>
    <t>A85438641</t>
  </si>
  <si>
    <t>CAMBIO DE CHISPERO EN MARMITA MADIPSA #4 POPO.PI.</t>
  </si>
  <si>
    <t>A85445760</t>
  </si>
  <si>
    <t>SOLICITUD DE BATERIAS TIPO D</t>
  </si>
  <si>
    <t>BATERIAS DE LITIO TIPO D // MARCA: DURACELL</t>
  </si>
  <si>
    <t>40 Pz</t>
  </si>
  <si>
    <t>REEMPLAZO DE CHAPA DE BARRA DE EMPUJE EN COMEDOR PINTURA</t>
  </si>
  <si>
    <t>A85445857</t>
  </si>
  <si>
    <t>CHAPA BARRA DE EMPUJE DE EMERGENCIA//MARCA: HARNEY// 32 in // STAINLESS STEEL // MODELO: PE550036FS</t>
  </si>
  <si>
    <t>1PZ</t>
  </si>
  <si>
    <t>REEMPLAZO DE BANDA DE EXTRACTOR DE CAMPANA DE MARMITA</t>
  </si>
  <si>
    <t>A85446142</t>
  </si>
  <si>
    <t>4PZ</t>
  </si>
  <si>
    <t>BANDAS HIGH-POWER II // MARCA: GATES // MODELO: A57</t>
  </si>
  <si>
    <t>ESPECIFICACIONES</t>
  </si>
  <si>
    <t>SUPERVISOR RESPONSABLE</t>
  </si>
  <si>
    <t>HECTOR CEDILLO</t>
  </si>
  <si>
    <t>IGNACIO MARTINEZ</t>
  </si>
  <si>
    <t>JUAN ADUNA</t>
  </si>
  <si>
    <t>PROVEEDOR</t>
  </si>
  <si>
    <t>IN SITE/REALIZADO</t>
  </si>
  <si>
    <t>PENDIENTE</t>
  </si>
  <si>
    <t>REALIZADO</t>
  </si>
  <si>
    <t>DIAS ABIERTOS</t>
  </si>
  <si>
    <t>FECHA ACTUAL</t>
  </si>
  <si>
    <t>A85446180</t>
  </si>
  <si>
    <t>REEMPLAZO DE TERMOSTATOS PARA BAÑO MARIA EN POPOPIRAMIDES</t>
  </si>
  <si>
    <t>TERMOSTATO MARCA ROBERTSHAW // MODELO: MPA-V411-CEM // 240 Vac/15 A</t>
  </si>
  <si>
    <t>2 PZ</t>
  </si>
  <si>
    <t>A85518448</t>
  </si>
  <si>
    <t>CAMBIO DE TERMISTORES A BAÑO MARIA EN POPOPIRAMIDES</t>
  </si>
  <si>
    <t>MARCA:  ROBERTSHAW // MODELO: MPA-V439-UNM // 240 VAc/15A</t>
  </si>
  <si>
    <t>15 PZ</t>
  </si>
  <si>
    <t>A85518924</t>
  </si>
  <si>
    <t>LAMPARA  FUNDIDA DE CAMARA FRÍA #4</t>
  </si>
  <si>
    <t>LAMPARA Marca: PHILLIPS // Modelo: F32T8/TL850 // 800 SERIES // 32 WATT</t>
  </si>
  <si>
    <t>A85518925</t>
  </si>
  <si>
    <t>SOLICITUD DE LLAVE DICA PARA LAVABO TEMPORIZADORA 4210 CROMO</t>
  </si>
  <si>
    <t>LLAVE PARA LAVABO Marca: Dica // Modelo: 4210 Cromo</t>
  </si>
  <si>
    <t>5 PZ</t>
  </si>
  <si>
    <t>GABRIEL BECERRIL</t>
  </si>
  <si>
    <t>A85518934</t>
  </si>
  <si>
    <t>SOLICITUD DE EMPAQUE PARA PUERTA EN EQUIPO TRAULSEN</t>
  </si>
  <si>
    <t>EMPAQUE PARA PUERTA COMPLETA - Marca: Traulsen // No. parte: 341-60083-00</t>
  </si>
  <si>
    <t>1 pz</t>
  </si>
  <si>
    <t>VENTILADOR PARA CARRO CALENTON TRAULSEN</t>
  </si>
  <si>
    <t>A85563714</t>
  </si>
  <si>
    <t>MARCA: ebmpapst // Modelo: 4606N // No: 92740114147 // Piezas: 2</t>
  </si>
  <si>
    <t>INTERRUPTOR C/FOCOPILOTO No.de PARTES: SG00SGS019, MARCA: INTERNATIONAL</t>
  </si>
  <si>
    <t>INTERRUPTOR DAÑADO EN LICUADORA DEL ANGEL</t>
  </si>
  <si>
    <t>CORTINAS PARA LAVALOZA HOBART EN COMEDOR EL ANGEL</t>
  </si>
  <si>
    <t>A85565666</t>
  </si>
  <si>
    <t>CORTINA PARA LAVALOZA MODELO: CLS66EN // ML 138404 (CON VARILLA DE ACERO INOX.)</t>
  </si>
  <si>
    <t>CORTINAS PARA LAVALOZA HOBART EN COMEDOR BELLAS ARTES</t>
  </si>
  <si>
    <t>A85565668</t>
  </si>
  <si>
    <t>CORTINAS PARA LAVALOZA HOBART EN COMEDOR POPOCATEPETL</t>
  </si>
  <si>
    <t>A85565669</t>
  </si>
  <si>
    <t>A85103805</t>
  </si>
  <si>
    <t>SE ENCUENTRA LIJA DESGASTADA DE PELADORA DE PAPAS HOBART 6460CBT</t>
  </si>
  <si>
    <t>1 DISCO ABRASIVO MARCA HOBART NO. PARTE  00-078198, 1 Drive Hub &amp; Ensamblaje Liner NO. PARTE 00-078154, 1 SPIRAL PIN 3/8" DIA. X 2-1/4 LG. (SST) 00-078154</t>
  </si>
  <si>
    <t>1 PZ C/U</t>
  </si>
  <si>
    <t>MODULO DE IGNICIÓN Y PILOTO DE MARMITA MARCA: MADIPSA // MODELO: S120G</t>
  </si>
  <si>
    <t>FALLA EN EL SENSOR DE TEMPERATURA DE REFRIGERADOR CENTERLINE EN COMEDOR BELLAS ARTES</t>
  </si>
  <si>
    <t>A85566067</t>
  </si>
  <si>
    <t>CONTROL DE TEMPERATURA DIGITAL - MARCA: TRAULSEN // No Parte: TR950-60534-00</t>
  </si>
  <si>
    <t>A85632286</t>
  </si>
  <si>
    <t>SOLICITUD DE SONDA NUCLEO PARA HORNO RATIONAL #1 COMEDOR EL ANGEL</t>
  </si>
  <si>
    <t>FAVOR DE SOLICITAR LAS SIGUIENTES PARTES PARA HORNO RATL-SCCWE-201E: - 1240.02.101 MEAT PROBE SENSOR 1 // -1310.00.612 HEX NUT M16 FLAT 1 // - 141315.0104 COPPER WASHER 16x20x1,5</t>
  </si>
  <si>
    <t>A85632292</t>
  </si>
  <si>
    <t>REFACCIONAMIENTO DE FOCOS PARA REFRIGERADOR TRUE COMEDOR POPOPIRAMIDES</t>
  </si>
  <si>
    <t>True 801112 Lamp, 25T10 Tuff Skin 130V</t>
  </si>
  <si>
    <t>REALIZADO EL DIA</t>
  </si>
  <si>
    <t>A85633409</t>
  </si>
  <si>
    <t>SOLICITUD PARA KIT DE FILTROS EN MAQUINA DE HIELOS COMEDOR EL ANGEL</t>
  </si>
  <si>
    <t>SE REQUIEREN 3 KIT DE FILTROS. CADA KIT DE INCLUYE: Repuesto filtro de agua de bloque de carbon activado | 2.5x10 pulgadas.  Repuesto filtro agua para sedimento | 2.5 x 10 pulgadas.  Repuesto filtro de agua granular carbón activado  | 2.5x10 pulgadas    Marca: Hidronyx</t>
  </si>
  <si>
    <t>A85704777</t>
  </si>
  <si>
    <t>REFACCIONAMIENTO PARA TORREY MHC500</t>
  </si>
  <si>
    <t>FAVOR DE SOLICITAR LAS SIGUIENTES REFACCIONES:     - Tornillos del panel frontal / Código: 9031237-01      - válvula de salida / Código: 0941105-05      - válvulas de desagüe / Código: 9021105-05   - Valvula para entrada de agua / Código: 9041108-02  -Asistente de cosecha / Código: 9161134-02</t>
  </si>
  <si>
    <t>A85708058</t>
  </si>
  <si>
    <t>SOLICITUD DE BOILER PARA COMEDOR POPO/PIRAMIDES</t>
  </si>
  <si>
    <t>MARCA: DELTA / MODELO: DELTA-02 PLUS N / TIPO DE CALENTADOR: RAPIDA RECUPERACION / TIPO DE GAS: GAS NATURAL / CARGA TÉRMICA: 34.8 kW</t>
  </si>
  <si>
    <t>A85708060</t>
  </si>
  <si>
    <t>SOLICITUD BOILER DE GAS NATURAL PARA COMEDOR EL ANGEL</t>
  </si>
  <si>
    <t>CABLE DAÑADO EN BAÑO MARIA CADDY EN COMEDOR BELLAS ARTES</t>
  </si>
  <si>
    <t>A85708142</t>
  </si>
  <si>
    <t>TEMPCO High Temp Lead Wire: 10 AWG Conductor Size, Natural, 250°C / 482°F, 100 ft Overall Lg  bobina de 100 metros </t>
  </si>
  <si>
    <t>TERMISTORES DAÑADOS EN BAÑO MARIA CADDY BELLAS ARTES</t>
  </si>
  <si>
    <t>A85709269</t>
  </si>
  <si>
    <t>A85709296</t>
  </si>
  <si>
    <t>ASIENTO DE WC FALTANTE EN BAÑOS E9 DE CBA</t>
  </si>
  <si>
    <t>ASIENTO PARA WC MARCA AMERICAN STANDARD</t>
  </si>
  <si>
    <t>A85791005</t>
  </si>
  <si>
    <t>SOLICITUD DE VISAGRAS PARA PUERTA DE CAMARA FRIA COMEDOR EL ANGEL</t>
  </si>
  <si>
    <t>BISAGRAS MODELO YL-1230S // MARCACOLDTEK // BSCARE005</t>
  </si>
  <si>
    <t>A85854771</t>
  </si>
  <si>
    <t>SENSOR DE FLUXOMETRO DAÑADO EN BAÑOS B-13 CBA</t>
  </si>
  <si>
    <t>1.28 GPF // M950526 // #768206229867</t>
  </si>
  <si>
    <t>A85854774</t>
  </si>
  <si>
    <t>BOTONES DEFLUXÓMETRO DAÑADOS EN BAÑOS DE CBA</t>
  </si>
  <si>
    <t>MARCA: AMERICAN STANDARD // No: M970784-0020A</t>
  </si>
  <si>
    <t>A85854777</t>
  </si>
  <si>
    <t>EMPAQUE DAÑADO DE HORNO RATIONAL EN COMEDOR POPOPIRAMIDES</t>
  </si>
  <si>
    <t>Door Gasket para Horno Rational, Modelo ICombi Pro ML00GG.AXXXX G30. NÚMERO DE REFACCIÓN: 20.00.399P</t>
  </si>
  <si>
    <t>A85865131</t>
  </si>
  <si>
    <t>REEMPLAZO CHAPA FMX DOBLE MANIJA PARA PUERTA DE ALUMINIO</t>
  </si>
  <si>
    <t>CHAPA FMX DOBLE MANIJA LLAVE A LLAVE PARA PUERTA DE ALUMINIO // MODELO: CH-8020 // FABRICANTE: FMX</t>
  </si>
  <si>
    <t>A85865150</t>
  </si>
  <si>
    <t>REFACCIONES PARA LAVALOZA ECOMAX EN CBA</t>
  </si>
  <si>
    <t>RINSE JET - ENJUAGADOR DE CHORRO // No. Parte: 140036 // PIEZA No. 11 DE MANUAL ECOMAX
WASHER - ARANDELA DE PLASTICO // No. Parte: 437117 // PIEZA No. 27 DE MANUAL ECOMAX</t>
  </si>
  <si>
    <t>A85865184</t>
  </si>
  <si>
    <t>ROCIADOR OBSTRUIDO EN WAR ROOM NIVEL 7 PLANTA PINTURA</t>
  </si>
  <si>
    <t>TAISSIR MONDRAGON</t>
  </si>
  <si>
    <t>A85871218</t>
  </si>
  <si>
    <t>CAMBIO DE LAMPARA EN REFRIGERADOR TORREY R-36</t>
  </si>
  <si>
    <t>OSRAM 4100K F017/841/ECO 17W 60 cm LARGO</t>
  </si>
  <si>
    <t>A85912134</t>
  </si>
  <si>
    <t>EMPAQUES DAÑADOS EN CARROS CALENTONES TRAULSEN BELLAS ARTES</t>
  </si>
  <si>
    <t>TRAULSEN 341-60083-00 DOOR GASKET, FULL DOOR, 22-3/4" X 59-3/4" - 2 PIEZAS</t>
  </si>
  <si>
    <t>A85912136</t>
  </si>
  <si>
    <t>REEMPLAZO DE MANGUERAS EN SARTENETAS Y MARMITAS MADIPSA</t>
  </si>
  <si>
    <t>T&amp;S B-0068-H2A HOSE, FLEXIBLE, LESS HANDLE, STAINLESS STEEL, 68"L</t>
  </si>
  <si>
    <t>CHICAGO 445-DJ13ABCP HOT AND COLD WATER SINK FAUCET</t>
  </si>
  <si>
    <t>A85912137</t>
  </si>
  <si>
    <t>REEMPLAZO DE LLAVE MEZCLADORA EN TARJAS DE BELLAS ARTES</t>
  </si>
  <si>
    <t>A85912140</t>
  </si>
  <si>
    <t>ASIENTO ROTO EN BAÑOS M7 DE HOMBRES P4</t>
  </si>
  <si>
    <t>TAZA PARA WC AMERICAN STANDARD</t>
  </si>
  <si>
    <t>A85912147</t>
  </si>
  <si>
    <t>REEMPLAZAR LUMINARIA DE CAMPANAS EXTRACTORAS  DE PIRAMIDES</t>
  </si>
  <si>
    <t>KROWNE 25-112 EXHAUST HOOD VAPOR PROOF LIGHT FIXTURE, SHATTERPROOF W/WIRE GUARD // KATOM #:381-25112 // MPN: 25-112</t>
  </si>
  <si>
    <t>A85948477</t>
  </si>
  <si>
    <t>REEMPLAZO DE BOTON DE FLUXÓMETRO DAÑADO EN BAÑOS P4M03-M</t>
  </si>
  <si>
    <t>BOTON DE FLUXOMETRO: M970784-0020A, MARCA AMERICAN STANDARD</t>
  </si>
  <si>
    <t>A85979903</t>
  </si>
  <si>
    <t>REEMPLAZO DE EMPAQUES CALENTON TRAULSEN DEL ANGEL</t>
  </si>
  <si>
    <t>Traulsen 341-60083-00 Door Gasket, Full Door, 22-3/4" X 59-3/4"</t>
  </si>
  <si>
    <t>A85979904</t>
  </si>
  <si>
    <t>REEMPLAZO DE CORTINA DE AIRE EN COMEDOR POPOCATEPETL</t>
  </si>
  <si>
    <t>A85979905</t>
  </si>
  <si>
    <t>TAZA DE WC DAÑADA EN BAÑOS DE PINTURA</t>
  </si>
  <si>
    <t>A85983376</t>
  </si>
  <si>
    <t>PLAFONES DAÑADOS EN BAÑOS</t>
  </si>
  <si>
    <t>603 x 603 x 15 mm TEGULAR SD+ (2' x 2' x 15 mm) - PO#UZMM2404</t>
  </si>
  <si>
    <t>A85983480</t>
  </si>
  <si>
    <t>BATERIAS TIPO D PARA PAPELERAS EN BAÑOS CSAP</t>
  </si>
  <si>
    <t>BATERIAS TIPO D MARCA DURACEL</t>
  </si>
  <si>
    <t xml:space="preserve">ORTINA DE AIRE MODELO CAF49 A1200 MARCA SOLER &amp; PALAU Y </t>
  </si>
  <si>
    <t xml:space="preserve"> Reemplazo de sensor de movimiento ILLUX modelo SE-2102.B (sensor infrarrojo 360°, color blanco, para muro o techo, compatible con iluminación LED, fluorescente o halógena)  </t>
  </si>
  <si>
    <t>FECHA INICIO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</si>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</sst>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4" fontId="0" fillId="0" borderId="9" xfId="0" applyNumberFormat="1" applyBorder="1"/>
    <xf numFmtId="0" fontId="6" fillId="0" borderId="8" xfId="0" applyFont="1" applyBorder="1"/>
    <xf numFmtId="0" fontId="0" fillId="0" borderId="8" xfId="0" applyBorder="1" applyAlignment="1">
      <alignment wrapText="1"/>
    </xf>
    <xf numFmtId="0" fontId="0" fillId="0" borderId="3" xfId="0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1" xfId="0" applyFont="1" applyFill="1" applyBorder="1"/>
    <xf numFmtId="0" fontId="7" fillId="2" borderId="5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/>
    <xf numFmtId="14" fontId="0" fillId="0" borderId="5" xfId="0" applyNumberFormat="1" applyBorder="1"/>
    <xf numFmtId="14" fontId="0" fillId="0" borderId="1" xfId="0" applyNumberFormat="1" applyBorder="1"/>
    <xf numFmtId="14" fontId="0" fillId="0" borderId="8" xfId="0" applyNumberFormat="1" applyBorder="1"/>
    <xf numFmtId="0" fontId="0" fillId="0" borderId="8" xfId="0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1" xfId="0" applyFont="1" applyFill="1" applyBorder="1"/>
    <xf numFmtId="14" fontId="8" fillId="3" borderId="3" xfId="0" applyNumberFormat="1" applyFont="1" applyFill="1" applyBorder="1"/>
    <xf numFmtId="0" fontId="8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wrapText="1"/>
    </xf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wrapText="1"/>
    </xf>
    <xf numFmtId="0" fontId="9" fillId="2" borderId="6" xfId="0" applyFont="1" applyFill="1" applyBorder="1" applyAlignment="1">
      <alignment horizontal="center" wrapText="1"/>
    </xf>
    <xf numFmtId="14" fontId="8" fillId="4" borderId="8" xfId="0" applyNumberFormat="1" applyFont="1" applyFill="1" applyBorder="1"/>
    <xf numFmtId="0" fontId="8" fillId="4" borderId="8" xfId="0" applyFont="1" applyFill="1" applyBorder="1" applyAlignment="1">
      <alignment wrapText="1"/>
    </xf>
    <xf numFmtId="0" fontId="8" fillId="4" borderId="8" xfId="0" applyFont="1" applyFill="1" applyBorder="1"/>
    <xf numFmtId="0" fontId="0" fillId="4" borderId="8" xfId="0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14" fontId="8" fillId="4" borderId="8" xfId="0" applyNumberFormat="1" applyFont="1" applyFill="1" applyBorder="1" applyAlignment="1">
      <alignment wrapText="1"/>
    </xf>
    <xf numFmtId="0" fontId="0" fillId="5" borderId="10" xfId="0" applyFill="1" applyBorder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49A0A-DA93-4350-BBCB-08C94B83A0BC}" name="Tabla1" displayName="Tabla1" ref="A1:M77" totalsRowShown="0" headerRowDxfId="31" headerRowBorderDxfId="30" tableBorderDxfId="29" totalsRowBorderDxfId="28">
  <autoFilter ref="A1:M77" xr:uid="{BB149A0A-DA93-4350-BBCB-08C94B83A0BC}"/>
  <tableColumns count="13">
    <tableColumn id="1" xr3:uid="{1A7A36B5-22AE-4B8F-A91A-F91C8A435B02}" name="NUMERO CM" dataDxfId="27"/>
    <tableColumn id="2" xr3:uid="{45B7E72B-E1A0-47B6-BB5B-DE0A5A0B004B}" name="DESCRIPCIÓN DE CORRECTIVO" dataDxfId="26"/>
    <tableColumn id="3" xr3:uid="{AA264F3F-6B45-405C-9EB6-37861892A934}" name="FECHA INICIO" dataDxfId="25"/>
    <tableColumn id="4" xr3:uid="{9A529B6E-B439-4DFF-AE04-217D91B67D95}" name="ESPECIFICACIONES" dataDxfId="24"/>
    <tableColumn id="5" xr3:uid="{77CA86A9-8766-46CF-B86E-357BB676C0DA}" name="CANTIDAD" dataDxfId="23"/>
    <tableColumn id="6" xr3:uid="{6500A5CD-578F-4DFE-B7D4-76E023B7969B}" name="SUPERVISOR RESPONSABLE" dataDxfId="22"/>
    <tableColumn id="7" xr3:uid="{C725BEFF-6EFD-4210-BFCD-FF264EB0E145}" name="IGNACIO MARTINEZ" dataDxfId="21"/>
    <tableColumn id="8" xr3:uid="{64CF838B-48A3-43F1-B0A4-86149CDEC35F}" name="JUAN ADUNA" dataDxfId="20"/>
    <tableColumn id="9" xr3:uid="{AD8C3B91-CA66-4FE0-9268-7CA76475D058}" name="PROVEEDOR" dataDxfId="19"/>
    <tableColumn id="10" xr3:uid="{B57619E2-11B2-4D85-B509-ABDCAC72B672}" name="ESTATUS" dataDxfId="18"/>
    <tableColumn id="11" xr3:uid="{A3A05A8F-FC6B-4707-BED0-6520694C71E0}" name="FECHA ACTUAL" dataDxfId="17">
      <calculatedColumnFormula>TODAY()</calculatedColumnFormula>
    </tableColumn>
    <tableColumn id="12" xr3:uid="{08F07662-4476-4E08-891A-EECFCE604C73}" name="DIAS ABIERTOS" dataDxfId="16">
      <calculatedColumnFormula>IF(Tabla1[[#This Row],[ESTATUS]]="REALIZADO","", Tabla1[[#This Row],[FECHA ACTUAL]]-Tabla1[[#This Row],[FECHA INICIO]])</calculatedColumnFormula>
    </tableColumn>
    <tableColumn id="13" xr3:uid="{6B5C8F1A-B3F3-45C2-A6E2-C9C5CB90724F}" name="REALIZADO EL DIA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0D555-DCF6-4B69-B701-8C0A9D30791E}" name="Table2" displayName="Table2" ref="A2:M3" totalsRowShown="0" headerRowBorderDxfId="14" tableBorderDxfId="13">
  <autoFilter ref="A2:M3" xr:uid="{8850D555-DCF6-4B69-B701-8C0A9D30791E}"/>
  <tableColumns count="13">
    <tableColumn id="1" xr3:uid="{787A264C-9BEF-4A0E-A843-8470C936E386}" name="NUMERO CM" dataDxfId="12"/>
    <tableColumn id="2" xr3:uid="{30E16E35-47A9-4F0E-8F5C-6DB71727D974}" name="DESCRIPCIÓN DE CORRECTIVO" dataDxfId="11"/>
    <tableColumn id="3" xr3:uid="{31EA43B9-9765-462C-8A03-88684C57E988}" name="FECHA INIC" dataDxfId="10"/>
    <tableColumn id="4" xr3:uid="{89F634C4-800F-46F9-A172-C2D6F459017F}" name="ESPECIFICACIONES" dataDxfId="9"/>
    <tableColumn id="5" xr3:uid="{422B5DA3-6AD9-46DD-9E7B-0D9447B19E86}" name="CANTIDAD" dataDxfId="8"/>
    <tableColumn id="6" xr3:uid="{23AFF992-242B-420B-B271-78EECCCDD1BE}" name="SUPERVISOR RESPONSABLE" dataDxfId="7"/>
    <tableColumn id="7" xr3:uid="{4F917327-5A29-49F6-99D0-476B55A01A8F}" name="IGNACIO MARTINEZ" dataDxfId="6"/>
    <tableColumn id="8" xr3:uid="{EAC457DA-4321-47B8-899F-640B4E810F80}" name="JUAN ADUNA" dataDxfId="5"/>
    <tableColumn id="9" xr3:uid="{273CFD24-9856-447B-97A0-BD4A48A716D1}" name="PROVEEDOR" dataDxfId="4"/>
    <tableColumn id="10" xr3:uid="{21FCC797-7E8D-40D0-8294-5AB21491BFC6}" name="IN SITE/REALIZADO" dataDxfId="3"/>
    <tableColumn id="11" xr3:uid="{F1139518-C14B-422F-9055-751CAC281668}" name="FECHA ACTUAL" dataDxfId="2">
      <calculatedColumnFormula>TODAY()</calculatedColumnFormula>
    </tableColumn>
    <tableColumn id="12" xr3:uid="{C06BDEB9-CAF3-4ECC-B9B4-AB961B21B5B9}" name="DIAS ABIERTOS" dataDxfId="1">
      <calculatedColumnFormula>IF(Table2[[#This Row],[IN SITE/REALIZADO]]="REALIZADO","", Table2[[#This Row],[FECHA ACTUAL]]-Table2[[#This Row],[FECHA INIC]])</calculatedColumnFormula>
    </tableColumn>
    <tableColumn id="13" xr3:uid="{32CF13F9-9643-4C86-BBF6-C1BFAA1FE0F7}" name="REALIZADO EL D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8643-80E1-4585-BA3D-197B30D3B697}">
  <dimension ref="A1:M77"/>
  <sheetViews>
    <sheetView tabSelected="1" zoomScale="55" workbookViewId="0">
      <selection activeCell="J22" sqref="J22"/>
    </sheetView>
  </sheetViews>
  <sheetFormatPr baseColWidth="10" defaultColWidth="10.85546875" defaultRowHeight="15" x14ac:dyDescent="0.25"/>
  <cols>
    <col min="1" max="1" width="22.42578125" bestFit="1" customWidth="1"/>
    <col min="2" max="2" width="77.5703125" customWidth="1"/>
    <col min="3" max="3" width="23.28515625" bestFit="1" customWidth="1"/>
    <col min="4" max="4" width="44.5703125" customWidth="1"/>
    <col min="5" max="5" width="19.5703125" bestFit="1" customWidth="1"/>
    <col min="6" max="6" width="14.28515625" customWidth="1"/>
    <col min="7" max="7" width="20.7109375" bestFit="1" customWidth="1"/>
    <col min="8" max="8" width="16.42578125" bestFit="1" customWidth="1"/>
    <col min="9" max="9" width="18.28515625" bestFit="1" customWidth="1"/>
    <col min="10" max="10" width="18.140625" customWidth="1"/>
    <col min="11" max="11" width="16.5703125" bestFit="1" customWidth="1"/>
    <col min="12" max="12" width="19.140625" bestFit="1" customWidth="1"/>
    <col min="13" max="13" width="18.85546875" bestFit="1" customWidth="1"/>
  </cols>
  <sheetData>
    <row r="1" spans="1:13" ht="30" x14ac:dyDescent="0.25">
      <c r="A1" s="12" t="s">
        <v>0</v>
      </c>
      <c r="B1" s="13" t="s">
        <v>16</v>
      </c>
      <c r="C1" s="14" t="s">
        <v>241</v>
      </c>
      <c r="D1" s="15" t="s">
        <v>107</v>
      </c>
      <c r="E1" s="13" t="s">
        <v>66</v>
      </c>
      <c r="F1" s="18" t="s">
        <v>108</v>
      </c>
      <c r="G1" s="18" t="s">
        <v>110</v>
      </c>
      <c r="H1" s="18" t="s">
        <v>111</v>
      </c>
      <c r="I1" s="18" t="s">
        <v>112</v>
      </c>
      <c r="J1" s="18" t="s">
        <v>242</v>
      </c>
      <c r="K1" s="16" t="s">
        <v>117</v>
      </c>
      <c r="L1" s="16" t="s">
        <v>116</v>
      </c>
      <c r="M1" s="16" t="s">
        <v>164</v>
      </c>
    </row>
    <row r="2" spans="1:13" ht="60" hidden="1" x14ac:dyDescent="0.25">
      <c r="A2" s="25" t="s">
        <v>150</v>
      </c>
      <c r="B2" s="26" t="s">
        <v>151</v>
      </c>
      <c r="C2" s="27">
        <v>46031</v>
      </c>
      <c r="D2" s="28" t="s">
        <v>152</v>
      </c>
      <c r="E2" s="26" t="s">
        <v>153</v>
      </c>
      <c r="F2" s="29" t="s">
        <v>109</v>
      </c>
      <c r="G2" s="29"/>
      <c r="H2" s="30"/>
      <c r="I2" s="30"/>
      <c r="J2" s="30" t="s">
        <v>115</v>
      </c>
      <c r="K2" s="31">
        <f ca="1">TODAY()</f>
        <v>46126</v>
      </c>
      <c r="L2" s="28" t="str">
        <f>IF(Tabla1[[#This Row],[ESTATUS]]="REALIZADO","", Tabla1[[#This Row],[FECHA ACTUAL]]-Tabla1[[#This Row],[FECHA INICIO]])</f>
        <v/>
      </c>
      <c r="M2" s="21">
        <v>46118</v>
      </c>
    </row>
    <row r="3" spans="1:13" ht="108.75" hidden="1" x14ac:dyDescent="0.25">
      <c r="A3" s="2" t="s">
        <v>1</v>
      </c>
      <c r="B3" s="1" t="s">
        <v>17</v>
      </c>
      <c r="C3" s="3">
        <v>46029</v>
      </c>
      <c r="D3" s="17" t="s">
        <v>43</v>
      </c>
      <c r="E3" s="1"/>
      <c r="F3" s="19" t="s">
        <v>109</v>
      </c>
      <c r="G3" s="1"/>
      <c r="H3" s="20"/>
      <c r="I3" s="1"/>
      <c r="J3" s="1" t="s">
        <v>115</v>
      </c>
      <c r="K3" s="21">
        <f ca="1">TODAY()</f>
        <v>46126</v>
      </c>
      <c r="L3" s="20" t="str">
        <f>IF(Tabla1[[#This Row],[ESTATUS]]="REALIZADO","", Tabla1[[#This Row],[FECHA ACTUAL]]-Tabla1[[#This Row],[FECHA INICIO]])</f>
        <v/>
      </c>
      <c r="M3" s="22">
        <v>46086</v>
      </c>
    </row>
    <row r="4" spans="1:13" ht="30" hidden="1" x14ac:dyDescent="0.25">
      <c r="A4" s="2" t="s">
        <v>2</v>
      </c>
      <c r="B4" s="1" t="s">
        <v>19</v>
      </c>
      <c r="C4" s="3">
        <v>46029</v>
      </c>
      <c r="D4" s="11" t="s">
        <v>48</v>
      </c>
      <c r="E4" s="1"/>
      <c r="F4" s="19" t="s">
        <v>109</v>
      </c>
      <c r="G4" s="1"/>
      <c r="H4" s="1"/>
      <c r="I4" s="1"/>
      <c r="J4" s="1" t="s">
        <v>115</v>
      </c>
      <c r="K4" s="22">
        <f t="shared" ref="K4:K38" ca="1" si="0">TODAY()</f>
        <v>46126</v>
      </c>
      <c r="L4" s="20" t="str">
        <f>IF(Tabla1[[#This Row],[ESTATUS]]="REALIZADO","", Tabla1[[#This Row],[FECHA ACTUAL]]-Tabla1[[#This Row],[FECHA INICIO]])</f>
        <v/>
      </c>
      <c r="M4" s="1"/>
    </row>
    <row r="5" spans="1:13" ht="30" hidden="1" x14ac:dyDescent="0.25">
      <c r="A5" s="2" t="s">
        <v>3</v>
      </c>
      <c r="B5" s="1" t="s">
        <v>20</v>
      </c>
      <c r="C5" s="3">
        <v>46029</v>
      </c>
      <c r="D5" s="11" t="s">
        <v>48</v>
      </c>
      <c r="E5" s="1"/>
      <c r="F5" s="19" t="s">
        <v>109</v>
      </c>
      <c r="G5" s="1"/>
      <c r="H5" s="1"/>
      <c r="I5" s="1"/>
      <c r="J5" s="1" t="s">
        <v>115</v>
      </c>
      <c r="K5" s="22">
        <f t="shared" ca="1" si="0"/>
        <v>46126</v>
      </c>
      <c r="L5" s="20" t="str">
        <f>IF(Tabla1[[#This Row],[ESTATUS]]="REALIZADO","", Tabla1[[#This Row],[FECHA ACTUAL]]-Tabla1[[#This Row],[FECHA INICIO]])</f>
        <v/>
      </c>
      <c r="M5" s="1"/>
    </row>
    <row r="6" spans="1:13" ht="30" hidden="1" x14ac:dyDescent="0.25">
      <c r="A6" s="2" t="s">
        <v>4</v>
      </c>
      <c r="B6" s="1" t="s">
        <v>21</v>
      </c>
      <c r="C6" s="3">
        <v>46029</v>
      </c>
      <c r="D6" s="11" t="s">
        <v>48</v>
      </c>
      <c r="E6" s="1"/>
      <c r="F6" s="19" t="s">
        <v>109</v>
      </c>
      <c r="G6" s="1"/>
      <c r="H6" s="1"/>
      <c r="I6" s="1"/>
      <c r="J6" s="1" t="s">
        <v>115</v>
      </c>
      <c r="K6" s="22">
        <f t="shared" ca="1" si="0"/>
        <v>46126</v>
      </c>
      <c r="L6" s="20" t="str">
        <f>IF(Tabla1[[#This Row],[ESTATUS]]="REALIZADO","", Tabla1[[#This Row],[FECHA ACTUAL]]-Tabla1[[#This Row],[FECHA INICIO]])</f>
        <v/>
      </c>
      <c r="M6" s="1"/>
    </row>
    <row r="7" spans="1:13" ht="30" hidden="1" x14ac:dyDescent="0.25">
      <c r="A7" s="2" t="s">
        <v>5</v>
      </c>
      <c r="B7" s="1" t="s">
        <v>22</v>
      </c>
      <c r="C7" s="3">
        <v>46029</v>
      </c>
      <c r="D7" s="11" t="s">
        <v>49</v>
      </c>
      <c r="E7" s="1"/>
      <c r="F7" s="19" t="s">
        <v>109</v>
      </c>
      <c r="G7" s="1"/>
      <c r="H7" s="1"/>
      <c r="I7" s="1"/>
      <c r="J7" s="1" t="s">
        <v>115</v>
      </c>
      <c r="K7" s="22">
        <f t="shared" ca="1" si="0"/>
        <v>46126</v>
      </c>
      <c r="L7" s="20" t="str">
        <f>IF(Tabla1[[#This Row],[ESTATUS]]="REALIZADO","", Tabla1[[#This Row],[FECHA ACTUAL]]-Tabla1[[#This Row],[FECHA INICIO]])</f>
        <v/>
      </c>
      <c r="M7" s="1"/>
    </row>
    <row r="8" spans="1:13" ht="30" hidden="1" x14ac:dyDescent="0.25">
      <c r="A8" s="2" t="s">
        <v>6</v>
      </c>
      <c r="B8" s="1" t="s">
        <v>23</v>
      </c>
      <c r="C8" s="3">
        <v>46029</v>
      </c>
      <c r="D8" s="11" t="s">
        <v>48</v>
      </c>
      <c r="E8" s="1"/>
      <c r="F8" s="19" t="s">
        <v>109</v>
      </c>
      <c r="G8" s="1"/>
      <c r="H8" s="1"/>
      <c r="I8" s="1"/>
      <c r="J8" s="1" t="s">
        <v>115</v>
      </c>
      <c r="K8" s="22">
        <f t="shared" ca="1" si="0"/>
        <v>46126</v>
      </c>
      <c r="L8" s="20" t="str">
        <f>IF(Tabla1[[#This Row],[ESTATUS]]="REALIZADO","", Tabla1[[#This Row],[FECHA ACTUAL]]-Tabla1[[#This Row],[FECHA INICIO]])</f>
        <v/>
      </c>
      <c r="M8" s="1"/>
    </row>
    <row r="9" spans="1:13" ht="30" hidden="1" x14ac:dyDescent="0.25">
      <c r="A9" s="2" t="s">
        <v>7</v>
      </c>
      <c r="B9" s="1" t="s">
        <v>24</v>
      </c>
      <c r="C9" s="3">
        <v>46029</v>
      </c>
      <c r="D9" s="11" t="s">
        <v>48</v>
      </c>
      <c r="E9" s="1"/>
      <c r="F9" s="19" t="s">
        <v>109</v>
      </c>
      <c r="G9" s="1"/>
      <c r="H9" s="1"/>
      <c r="I9" s="1"/>
      <c r="J9" s="1" t="s">
        <v>115</v>
      </c>
      <c r="K9" s="22">
        <f t="shared" ca="1" si="0"/>
        <v>46126</v>
      </c>
      <c r="L9" s="20" t="str">
        <f>IF(Tabla1[[#This Row],[ESTATUS]]="REALIZADO","", Tabla1[[#This Row],[FECHA ACTUAL]]-Tabla1[[#This Row],[FECHA INICIO]])</f>
        <v/>
      </c>
      <c r="M9" s="1"/>
    </row>
    <row r="10" spans="1:13" ht="30" hidden="1" x14ac:dyDescent="0.25">
      <c r="A10" s="2" t="s">
        <v>8</v>
      </c>
      <c r="B10" s="1" t="s">
        <v>25</v>
      </c>
      <c r="C10" s="3">
        <v>46029</v>
      </c>
      <c r="D10" s="11" t="s">
        <v>49</v>
      </c>
      <c r="E10" s="1"/>
      <c r="F10" s="19" t="s">
        <v>109</v>
      </c>
      <c r="G10" s="1"/>
      <c r="H10" s="1"/>
      <c r="I10" s="1"/>
      <c r="J10" s="1" t="s">
        <v>115</v>
      </c>
      <c r="K10" s="22">
        <f t="shared" ca="1" si="0"/>
        <v>46126</v>
      </c>
      <c r="L10" s="20" t="str">
        <f>IF(Tabla1[[#This Row],[ESTATUS]]="REALIZADO","", Tabla1[[#This Row],[FECHA ACTUAL]]-Tabla1[[#This Row],[FECHA INICIO]])</f>
        <v/>
      </c>
      <c r="M10" s="1"/>
    </row>
    <row r="11" spans="1:13" ht="30" hidden="1" x14ac:dyDescent="0.25">
      <c r="A11" s="2" t="s">
        <v>9</v>
      </c>
      <c r="B11" s="1" t="s">
        <v>18</v>
      </c>
      <c r="C11" s="3">
        <v>46029</v>
      </c>
      <c r="D11" s="11" t="s">
        <v>48</v>
      </c>
      <c r="E11" s="1"/>
      <c r="F11" s="19" t="s">
        <v>109</v>
      </c>
      <c r="G11" s="1"/>
      <c r="H11" s="1"/>
      <c r="I11" s="1"/>
      <c r="J11" s="1" t="s">
        <v>115</v>
      </c>
      <c r="K11" s="22">
        <f t="shared" ca="1" si="0"/>
        <v>46126</v>
      </c>
      <c r="L11" s="20" t="str">
        <f>IF(Tabla1[[#This Row],[ESTATUS]]="REALIZADO","", Tabla1[[#This Row],[FECHA ACTUAL]]-Tabla1[[#This Row],[FECHA INICIO]])</f>
        <v/>
      </c>
      <c r="M11" s="1"/>
    </row>
    <row r="12" spans="1:13" ht="30" hidden="1" x14ac:dyDescent="0.25">
      <c r="A12" s="2" t="s">
        <v>10</v>
      </c>
      <c r="B12" s="1" t="s">
        <v>26</v>
      </c>
      <c r="C12" s="3">
        <v>46029</v>
      </c>
      <c r="D12" s="11" t="s">
        <v>48</v>
      </c>
      <c r="E12" s="1"/>
      <c r="F12" s="19" t="s">
        <v>109</v>
      </c>
      <c r="G12" s="1"/>
      <c r="H12" s="1"/>
      <c r="I12" s="1"/>
      <c r="J12" s="1" t="s">
        <v>115</v>
      </c>
      <c r="K12" s="22">
        <f t="shared" ca="1" si="0"/>
        <v>46126</v>
      </c>
      <c r="L12" s="20" t="str">
        <f>IF(Tabla1[[#This Row],[ESTATUS]]="REALIZADO","", Tabla1[[#This Row],[FECHA ACTUAL]]-Tabla1[[#This Row],[FECHA INICIO]])</f>
        <v/>
      </c>
      <c r="M12" s="1"/>
    </row>
    <row r="13" spans="1:13" ht="30" hidden="1" x14ac:dyDescent="0.25">
      <c r="A13" s="2" t="s">
        <v>11</v>
      </c>
      <c r="B13" s="1" t="s">
        <v>27</v>
      </c>
      <c r="C13" s="3">
        <v>46029</v>
      </c>
      <c r="D13" s="11" t="s">
        <v>48</v>
      </c>
      <c r="E13" s="1"/>
      <c r="F13" s="19" t="s">
        <v>109</v>
      </c>
      <c r="G13" s="1"/>
      <c r="H13" s="1"/>
      <c r="I13" s="1"/>
      <c r="J13" s="1" t="s">
        <v>115</v>
      </c>
      <c r="K13" s="22">
        <f t="shared" ca="1" si="0"/>
        <v>46126</v>
      </c>
      <c r="L13" s="20" t="str">
        <f>IF(Tabla1[[#This Row],[ESTATUS]]="REALIZADO","", Tabla1[[#This Row],[FECHA ACTUAL]]-Tabla1[[#This Row],[FECHA INICIO]])</f>
        <v/>
      </c>
      <c r="M13" s="1"/>
    </row>
    <row r="14" spans="1:13" ht="30" hidden="1" x14ac:dyDescent="0.25">
      <c r="A14" s="2" t="s">
        <v>12</v>
      </c>
      <c r="B14" s="1" t="s">
        <v>28</v>
      </c>
      <c r="C14" s="3">
        <v>46029</v>
      </c>
      <c r="D14" s="11" t="s">
        <v>48</v>
      </c>
      <c r="E14" s="1"/>
      <c r="F14" s="19" t="s">
        <v>109</v>
      </c>
      <c r="G14" s="1"/>
      <c r="H14" s="1"/>
      <c r="I14" s="1"/>
      <c r="J14" s="1" t="s">
        <v>115</v>
      </c>
      <c r="K14" s="22">
        <f t="shared" ca="1" si="0"/>
        <v>46126</v>
      </c>
      <c r="L14" s="20" t="str">
        <f>IF(Tabla1[[#This Row],[ESTATUS]]="REALIZADO","", Tabla1[[#This Row],[FECHA ACTUAL]]-Tabla1[[#This Row],[FECHA INICIO]])</f>
        <v/>
      </c>
      <c r="M14" s="1"/>
    </row>
    <row r="15" spans="1:13" ht="30" hidden="1" x14ac:dyDescent="0.25">
      <c r="A15" s="2" t="s">
        <v>13</v>
      </c>
      <c r="B15" s="1" t="s">
        <v>29</v>
      </c>
      <c r="C15" s="3">
        <v>46029</v>
      </c>
      <c r="D15" s="17" t="s">
        <v>41</v>
      </c>
      <c r="E15" s="1"/>
      <c r="F15" s="19" t="s">
        <v>109</v>
      </c>
      <c r="G15" s="1"/>
      <c r="H15" s="1"/>
      <c r="I15" s="1"/>
      <c r="J15" s="1" t="s">
        <v>115</v>
      </c>
      <c r="K15" s="22">
        <f t="shared" ca="1" si="0"/>
        <v>46126</v>
      </c>
      <c r="L15" s="20" t="str">
        <f>IF(Tabla1[[#This Row],[ESTATUS]]="REALIZADO","", Tabla1[[#This Row],[FECHA ACTUAL]]-Tabla1[[#This Row],[FECHA INICIO]])</f>
        <v/>
      </c>
      <c r="M15" s="1"/>
    </row>
    <row r="16" spans="1:13" ht="45" hidden="1" x14ac:dyDescent="0.25">
      <c r="A16" s="2" t="s">
        <v>14</v>
      </c>
      <c r="B16" s="1" t="s">
        <v>30</v>
      </c>
      <c r="C16" s="3">
        <v>46029</v>
      </c>
      <c r="D16" s="17" t="s">
        <v>42</v>
      </c>
      <c r="E16" s="1"/>
      <c r="F16" s="19" t="s">
        <v>109</v>
      </c>
      <c r="G16" s="1"/>
      <c r="H16" s="1"/>
      <c r="I16" s="1"/>
      <c r="J16" s="1" t="s">
        <v>115</v>
      </c>
      <c r="K16" s="22">
        <f t="shared" ca="1" si="0"/>
        <v>46126</v>
      </c>
      <c r="L16" s="20" t="str">
        <f>IF(Tabla1[[#This Row],[ESTATUS]]="REALIZADO","", Tabla1[[#This Row],[FECHA ACTUAL]]-Tabla1[[#This Row],[FECHA INICIO]])</f>
        <v/>
      </c>
      <c r="M16" s="1"/>
    </row>
    <row r="17" spans="1:13" ht="45" hidden="1" x14ac:dyDescent="0.25">
      <c r="A17" s="2" t="s">
        <v>15</v>
      </c>
      <c r="B17" s="1" t="s">
        <v>31</v>
      </c>
      <c r="C17" s="3">
        <v>46029</v>
      </c>
      <c r="D17" s="17" t="s">
        <v>44</v>
      </c>
      <c r="E17" s="1"/>
      <c r="F17" s="19" t="s">
        <v>109</v>
      </c>
      <c r="G17" s="1"/>
      <c r="H17" s="1"/>
      <c r="I17" s="1"/>
      <c r="J17" s="1" t="s">
        <v>115</v>
      </c>
      <c r="K17" s="22">
        <f t="shared" ca="1" si="0"/>
        <v>46126</v>
      </c>
      <c r="L17" s="20" t="str">
        <f>IF(Tabla1[[#This Row],[ESTATUS]]="REALIZADO","", Tabla1[[#This Row],[FECHA ACTUAL]]-Tabla1[[#This Row],[FECHA INICIO]])</f>
        <v/>
      </c>
      <c r="M17" s="1"/>
    </row>
    <row r="18" spans="1:13" ht="45" hidden="1" x14ac:dyDescent="0.25">
      <c r="A18" s="2" t="s">
        <v>33</v>
      </c>
      <c r="B18" s="1" t="s">
        <v>37</v>
      </c>
      <c r="C18" s="3">
        <v>46031</v>
      </c>
      <c r="D18" s="17" t="s">
        <v>45</v>
      </c>
      <c r="E18" s="1"/>
      <c r="F18" s="19" t="s">
        <v>109</v>
      </c>
      <c r="G18" s="1"/>
      <c r="H18" s="1"/>
      <c r="I18" s="1"/>
      <c r="J18" s="1" t="s">
        <v>115</v>
      </c>
      <c r="K18" s="22">
        <f t="shared" ca="1" si="0"/>
        <v>46126</v>
      </c>
      <c r="L18" s="20" t="str">
        <f>IF(Tabla1[[#This Row],[ESTATUS]]="REALIZADO","", Tabla1[[#This Row],[FECHA ACTUAL]]-Tabla1[[#This Row],[FECHA INICIO]])</f>
        <v/>
      </c>
      <c r="M18" s="1"/>
    </row>
    <row r="19" spans="1:13" ht="90" hidden="1" x14ac:dyDescent="0.25">
      <c r="A19" s="2" t="s">
        <v>34</v>
      </c>
      <c r="B19" s="1" t="s">
        <v>38</v>
      </c>
      <c r="C19" s="3">
        <v>46031</v>
      </c>
      <c r="D19" s="6" t="s">
        <v>46</v>
      </c>
      <c r="E19" s="1"/>
      <c r="F19" s="19" t="s">
        <v>109</v>
      </c>
      <c r="G19" s="1"/>
      <c r="H19" s="1"/>
      <c r="I19" s="1"/>
      <c r="J19" s="1" t="s">
        <v>115</v>
      </c>
      <c r="K19" s="22">
        <f t="shared" ca="1" si="0"/>
        <v>46126</v>
      </c>
      <c r="L19" s="20" t="str">
        <f>IF(Tabla1[[#This Row],[ESTATUS]]="REALIZADO","", Tabla1[[#This Row],[FECHA ACTUAL]]-Tabla1[[#This Row],[FECHA INICIO]])</f>
        <v/>
      </c>
      <c r="M19" s="1"/>
    </row>
    <row r="20" spans="1:13" ht="105" hidden="1" x14ac:dyDescent="0.25">
      <c r="A20" s="2" t="s">
        <v>35</v>
      </c>
      <c r="B20" s="1" t="s">
        <v>39</v>
      </c>
      <c r="C20" s="3">
        <v>46031</v>
      </c>
      <c r="D20" s="17" t="s">
        <v>47</v>
      </c>
      <c r="E20" s="1"/>
      <c r="F20" s="19" t="s">
        <v>109</v>
      </c>
      <c r="G20" s="1"/>
      <c r="H20" s="1"/>
      <c r="I20" s="1"/>
      <c r="J20" s="1" t="s">
        <v>115</v>
      </c>
      <c r="K20" s="22">
        <f t="shared" ca="1" si="0"/>
        <v>46126</v>
      </c>
      <c r="L20" s="20" t="str">
        <f>IF(Tabla1[[#This Row],[ESTATUS]]="REALIZADO","", Tabla1[[#This Row],[FECHA ACTUAL]]-Tabla1[[#This Row],[FECHA INICIO]])</f>
        <v/>
      </c>
      <c r="M20" s="1"/>
    </row>
    <row r="21" spans="1:13" ht="30" hidden="1" x14ac:dyDescent="0.25">
      <c r="A21" s="4" t="s">
        <v>36</v>
      </c>
      <c r="B21" s="5" t="s">
        <v>40</v>
      </c>
      <c r="C21" s="3">
        <v>46031</v>
      </c>
      <c r="D21" s="11" t="s">
        <v>48</v>
      </c>
      <c r="E21" s="1"/>
      <c r="F21" s="19" t="s">
        <v>109</v>
      </c>
      <c r="G21" s="1"/>
      <c r="H21" s="1"/>
      <c r="I21" s="1"/>
      <c r="J21" s="1" t="s">
        <v>115</v>
      </c>
      <c r="K21" s="22">
        <f t="shared" ca="1" si="0"/>
        <v>46126</v>
      </c>
      <c r="L21" s="20" t="str">
        <f>IF(Tabla1[[#This Row],[ESTATUS]]="REALIZADO","", Tabla1[[#This Row],[FECHA ACTUAL]]-Tabla1[[#This Row],[FECHA INICIO]])</f>
        <v/>
      </c>
      <c r="M21" s="1"/>
    </row>
    <row r="22" spans="1:13" ht="78.75" x14ac:dyDescent="0.25">
      <c r="A22" s="2" t="s">
        <v>50</v>
      </c>
      <c r="B22" s="1" t="s">
        <v>51</v>
      </c>
      <c r="C22" s="3">
        <v>46037</v>
      </c>
      <c r="D22" s="17" t="s">
        <v>52</v>
      </c>
      <c r="E22" s="1"/>
      <c r="F22" s="19" t="s">
        <v>109</v>
      </c>
      <c r="G22" s="1" t="s">
        <v>114</v>
      </c>
      <c r="H22" s="1"/>
      <c r="I22" s="1"/>
      <c r="J22" s="1"/>
      <c r="K22" s="22">
        <f t="shared" ca="1" si="0"/>
        <v>46126</v>
      </c>
      <c r="L22" s="20">
        <f ca="1">IF(Tabla1[[#This Row],[ESTATUS]]="REALIZADO","", Tabla1[[#This Row],[FECHA ACTUAL]]-Tabla1[[#This Row],[FECHA INICIO]])</f>
        <v>89</v>
      </c>
      <c r="M22" s="1"/>
    </row>
    <row r="23" spans="1:13" ht="30" hidden="1" x14ac:dyDescent="0.25">
      <c r="A23" s="2" t="s">
        <v>53</v>
      </c>
      <c r="B23" s="1" t="s">
        <v>54</v>
      </c>
      <c r="C23" s="3">
        <v>46037</v>
      </c>
      <c r="D23" s="11" t="s">
        <v>48</v>
      </c>
      <c r="E23" s="1"/>
      <c r="F23" s="19" t="s">
        <v>109</v>
      </c>
      <c r="G23" s="1"/>
      <c r="H23" s="1"/>
      <c r="I23" s="1"/>
      <c r="J23" s="1" t="s">
        <v>115</v>
      </c>
      <c r="K23" s="22">
        <f t="shared" ca="1" si="0"/>
        <v>46126</v>
      </c>
      <c r="L23" s="20" t="str">
        <f>IF(Tabla1[[#This Row],[ESTATUS]]="REALIZADO","", Tabla1[[#This Row],[FECHA ACTUAL]]-Tabla1[[#This Row],[FECHA INICIO]])</f>
        <v/>
      </c>
      <c r="M23" s="1"/>
    </row>
    <row r="24" spans="1:13" ht="45" hidden="1" x14ac:dyDescent="0.25">
      <c r="A24" s="2" t="s">
        <v>55</v>
      </c>
      <c r="B24" s="1" t="s">
        <v>56</v>
      </c>
      <c r="C24" s="3">
        <v>46037</v>
      </c>
      <c r="D24" s="17" t="s">
        <v>57</v>
      </c>
      <c r="E24" s="1"/>
      <c r="F24" s="19" t="s">
        <v>109</v>
      </c>
      <c r="G24" s="1"/>
      <c r="H24" s="1"/>
      <c r="I24" s="1"/>
      <c r="J24" s="1" t="s">
        <v>115</v>
      </c>
      <c r="K24" s="22">
        <f t="shared" ca="1" si="0"/>
        <v>46126</v>
      </c>
      <c r="L24" s="20" t="str">
        <f>IF(Tabla1[[#This Row],[ESTATUS]]="REALIZADO","", Tabla1[[#This Row],[FECHA ACTUAL]]-Tabla1[[#This Row],[FECHA INICIO]])</f>
        <v/>
      </c>
      <c r="M24" s="1"/>
    </row>
    <row r="25" spans="1:13" ht="30" hidden="1" x14ac:dyDescent="0.25">
      <c r="A25" s="2" t="s">
        <v>59</v>
      </c>
      <c r="B25" s="1" t="s">
        <v>58</v>
      </c>
      <c r="C25" s="3">
        <v>46041</v>
      </c>
      <c r="D25" s="11" t="s">
        <v>48</v>
      </c>
      <c r="E25" s="1"/>
      <c r="F25" s="19" t="s">
        <v>109</v>
      </c>
      <c r="G25" s="1"/>
      <c r="H25" s="1"/>
      <c r="I25" s="1"/>
      <c r="J25" s="1" t="s">
        <v>115</v>
      </c>
      <c r="K25" s="22">
        <f t="shared" ca="1" si="0"/>
        <v>46126</v>
      </c>
      <c r="L25" s="20" t="str">
        <f>IF(Tabla1[[#This Row],[ESTATUS]]="REALIZADO","", Tabla1[[#This Row],[FECHA ACTUAL]]-Tabla1[[#This Row],[FECHA INICIO]])</f>
        <v/>
      </c>
      <c r="M25" s="1"/>
    </row>
    <row r="26" spans="1:13" ht="60" hidden="1" x14ac:dyDescent="0.25">
      <c r="A26" s="2" t="s">
        <v>60</v>
      </c>
      <c r="B26" s="1" t="s">
        <v>61</v>
      </c>
      <c r="C26" s="3">
        <v>46049</v>
      </c>
      <c r="D26" s="17" t="s">
        <v>62</v>
      </c>
      <c r="E26" s="1" t="s">
        <v>67</v>
      </c>
      <c r="F26" s="19" t="s">
        <v>109</v>
      </c>
      <c r="G26" s="1"/>
      <c r="H26" s="1"/>
      <c r="I26" s="1"/>
      <c r="J26" s="1" t="s">
        <v>115</v>
      </c>
      <c r="K26" s="22">
        <f t="shared" ca="1" si="0"/>
        <v>46126</v>
      </c>
      <c r="L26" s="20" t="str">
        <f>IF(Tabla1[[#This Row],[ESTATUS]]="REALIZADO","", Tabla1[[#This Row],[FECHA ACTUAL]]-Tabla1[[#This Row],[FECHA INICIO]])</f>
        <v/>
      </c>
      <c r="M26" s="1"/>
    </row>
    <row r="27" spans="1:13" ht="30" hidden="1" x14ac:dyDescent="0.25">
      <c r="A27" s="2" t="s">
        <v>63</v>
      </c>
      <c r="B27" s="1" t="s">
        <v>64</v>
      </c>
      <c r="C27" s="3">
        <v>46049</v>
      </c>
      <c r="D27" s="7" t="s">
        <v>65</v>
      </c>
      <c r="E27" s="7" t="s">
        <v>68</v>
      </c>
      <c r="F27" s="19" t="s">
        <v>109</v>
      </c>
      <c r="G27" s="1"/>
      <c r="H27" s="1"/>
      <c r="I27" s="1"/>
      <c r="J27" s="1" t="s">
        <v>115</v>
      </c>
      <c r="K27" s="22">
        <f t="shared" ca="1" si="0"/>
        <v>46126</v>
      </c>
      <c r="L27" s="20" t="str">
        <f>IF(Tabla1[[#This Row],[ESTATUS]]="REALIZADO","", Tabla1[[#This Row],[FECHA ACTUAL]]-Tabla1[[#This Row],[FECHA INICIO]])</f>
        <v/>
      </c>
      <c r="M27" s="1"/>
    </row>
    <row r="28" spans="1:13" ht="30" hidden="1" x14ac:dyDescent="0.25">
      <c r="A28" s="2" t="s">
        <v>69</v>
      </c>
      <c r="B28" s="1" t="s">
        <v>70</v>
      </c>
      <c r="C28" s="3">
        <v>46049</v>
      </c>
      <c r="D28" s="7" t="s">
        <v>71</v>
      </c>
      <c r="E28" s="1" t="s">
        <v>72</v>
      </c>
      <c r="F28" s="19" t="s">
        <v>109</v>
      </c>
      <c r="G28" s="1"/>
      <c r="H28" s="1"/>
      <c r="I28" s="1"/>
      <c r="J28" s="1" t="s">
        <v>115</v>
      </c>
      <c r="K28" s="22">
        <f t="shared" ca="1" si="0"/>
        <v>46126</v>
      </c>
      <c r="L28" s="20" t="str">
        <f>IF(Tabla1[[#This Row],[ESTATUS]]="REALIZADO","", Tabla1[[#This Row],[FECHA ACTUAL]]-Tabla1[[#This Row],[FECHA INICIO]])</f>
        <v/>
      </c>
      <c r="M28" s="1"/>
    </row>
    <row r="29" spans="1:13" ht="30" hidden="1" x14ac:dyDescent="0.25">
      <c r="A29" s="2" t="s">
        <v>75</v>
      </c>
      <c r="B29" s="1" t="s">
        <v>76</v>
      </c>
      <c r="C29" s="3">
        <v>46049</v>
      </c>
      <c r="D29" s="7" t="s">
        <v>73</v>
      </c>
      <c r="E29" s="1" t="s">
        <v>74</v>
      </c>
      <c r="F29" s="19" t="s">
        <v>109</v>
      </c>
      <c r="G29" s="1"/>
      <c r="H29" s="1"/>
      <c r="I29" s="1"/>
      <c r="J29" s="1" t="s">
        <v>115</v>
      </c>
      <c r="K29" s="22">
        <f t="shared" ca="1" si="0"/>
        <v>46126</v>
      </c>
      <c r="L29" s="20" t="str">
        <f>IF(Tabla1[[#This Row],[ESTATUS]]="REALIZADO","", Tabla1[[#This Row],[FECHA ACTUAL]]-Tabla1[[#This Row],[FECHA INICIO]])</f>
        <v/>
      </c>
      <c r="M29" s="1"/>
    </row>
    <row r="30" spans="1:13" ht="30" hidden="1" x14ac:dyDescent="0.25">
      <c r="A30" s="2" t="s">
        <v>78</v>
      </c>
      <c r="B30" s="1" t="s">
        <v>77</v>
      </c>
      <c r="C30" s="3">
        <v>46049</v>
      </c>
      <c r="D30" s="1" t="s">
        <v>48</v>
      </c>
      <c r="E30" s="1" t="s">
        <v>67</v>
      </c>
      <c r="F30" s="19" t="s">
        <v>109</v>
      </c>
      <c r="G30" s="1"/>
      <c r="H30" s="1"/>
      <c r="I30" s="1"/>
      <c r="J30" s="1" t="s">
        <v>115</v>
      </c>
      <c r="K30" s="22">
        <f t="shared" ca="1" si="0"/>
        <v>46126</v>
      </c>
      <c r="L30" s="20" t="str">
        <f>IF(Tabla1[[#This Row],[ESTATUS]]="REALIZADO","", Tabla1[[#This Row],[FECHA ACTUAL]]-Tabla1[[#This Row],[FECHA INICIO]])</f>
        <v/>
      </c>
      <c r="M30" s="1"/>
    </row>
    <row r="31" spans="1:13" ht="30" hidden="1" x14ac:dyDescent="0.25">
      <c r="A31" s="2" t="s">
        <v>81</v>
      </c>
      <c r="B31" s="1" t="s">
        <v>82</v>
      </c>
      <c r="C31" s="3">
        <v>46049</v>
      </c>
      <c r="D31" s="7" t="s">
        <v>79</v>
      </c>
      <c r="E31" s="1" t="s">
        <v>80</v>
      </c>
      <c r="F31" s="19" t="s">
        <v>109</v>
      </c>
      <c r="G31" s="1"/>
      <c r="H31" s="1"/>
      <c r="I31" s="1"/>
      <c r="J31" s="1" t="s">
        <v>115</v>
      </c>
      <c r="K31" s="22">
        <f t="shared" ca="1" si="0"/>
        <v>46126</v>
      </c>
      <c r="L31" s="20" t="str">
        <f>IF(Tabla1[[#This Row],[ESTATUS]]="REALIZADO","", Tabla1[[#This Row],[FECHA ACTUAL]]-Tabla1[[#This Row],[FECHA INICIO]])</f>
        <v/>
      </c>
      <c r="M31" s="1"/>
    </row>
    <row r="32" spans="1:13" ht="30" hidden="1" x14ac:dyDescent="0.25">
      <c r="A32" s="2" t="s">
        <v>83</v>
      </c>
      <c r="B32" s="1" t="s">
        <v>84</v>
      </c>
      <c r="C32" s="3">
        <v>46050</v>
      </c>
      <c r="D32" s="1" t="s">
        <v>48</v>
      </c>
      <c r="E32" s="1" t="s">
        <v>67</v>
      </c>
      <c r="F32" s="19" t="s">
        <v>109</v>
      </c>
      <c r="G32" s="1"/>
      <c r="H32" s="1"/>
      <c r="I32" s="1"/>
      <c r="J32" s="1" t="s">
        <v>115</v>
      </c>
      <c r="K32" s="22">
        <f t="shared" ca="1" si="0"/>
        <v>46126</v>
      </c>
      <c r="L32" s="20" t="str">
        <f>IF(Tabla1[[#This Row],[ESTATUS]]="REALIZADO","", Tabla1[[#This Row],[FECHA ACTUAL]]-Tabla1[[#This Row],[FECHA INICIO]])</f>
        <v/>
      </c>
      <c r="M32" s="1"/>
    </row>
    <row r="33" spans="1:13" ht="30" hidden="1" x14ac:dyDescent="0.25">
      <c r="A33" s="2" t="s">
        <v>88</v>
      </c>
      <c r="B33" s="1" t="s">
        <v>87</v>
      </c>
      <c r="C33" s="3">
        <v>46051</v>
      </c>
      <c r="D33" s="7" t="s">
        <v>85</v>
      </c>
      <c r="E33" s="1" t="s">
        <v>86</v>
      </c>
      <c r="F33" s="19" t="s">
        <v>109</v>
      </c>
      <c r="G33" s="1"/>
      <c r="H33" s="1"/>
      <c r="I33" s="1"/>
      <c r="J33" s="1" t="s">
        <v>115</v>
      </c>
      <c r="K33" s="22">
        <f t="shared" ca="1" si="0"/>
        <v>46126</v>
      </c>
      <c r="L33" s="20" t="str">
        <f>IF(Tabla1[[#This Row],[ESTATUS]]="REALIZADO","", Tabla1[[#This Row],[FECHA ACTUAL]]-Tabla1[[#This Row],[FECHA INICIO]])</f>
        <v/>
      </c>
      <c r="M33" s="1"/>
    </row>
    <row r="34" spans="1:13" ht="30" hidden="1" x14ac:dyDescent="0.25">
      <c r="A34" s="2" t="s">
        <v>90</v>
      </c>
      <c r="B34" s="1" t="s">
        <v>92</v>
      </c>
      <c r="C34" s="3">
        <v>46051</v>
      </c>
      <c r="D34" s="7" t="s">
        <v>89</v>
      </c>
      <c r="E34" s="1" t="s">
        <v>91</v>
      </c>
      <c r="F34" s="19" t="s">
        <v>109</v>
      </c>
      <c r="G34" s="1"/>
      <c r="H34" s="1"/>
      <c r="I34" s="1"/>
      <c r="J34" s="1" t="s">
        <v>115</v>
      </c>
      <c r="K34" s="22">
        <f t="shared" ca="1" si="0"/>
        <v>46126</v>
      </c>
      <c r="L34" s="20" t="str">
        <f>IF(Tabla1[[#This Row],[ESTATUS]]="REALIZADO","", Tabla1[[#This Row],[FECHA ACTUAL]]-Tabla1[[#This Row],[FECHA INICIO]])</f>
        <v/>
      </c>
      <c r="M34" s="1"/>
    </row>
    <row r="35" spans="1:13" ht="30" hidden="1" x14ac:dyDescent="0.25">
      <c r="A35" s="2" t="s">
        <v>93</v>
      </c>
      <c r="B35" s="1" t="s">
        <v>94</v>
      </c>
      <c r="C35" s="3">
        <v>46062</v>
      </c>
      <c r="D35" s="7" t="s">
        <v>154</v>
      </c>
      <c r="E35" s="1">
        <v>2</v>
      </c>
      <c r="F35" s="19" t="s">
        <v>109</v>
      </c>
      <c r="G35" s="1"/>
      <c r="H35" s="1"/>
      <c r="I35" s="1"/>
      <c r="J35" s="1" t="s">
        <v>115</v>
      </c>
      <c r="K35" s="22">
        <f t="shared" ca="1" si="0"/>
        <v>46126</v>
      </c>
      <c r="L35" s="20" t="str">
        <f>IF(Tabla1[[#This Row],[ESTATUS]]="REALIZADO","", Tabla1[[#This Row],[FECHA ACTUAL]]-Tabla1[[#This Row],[FECHA INICIO]])</f>
        <v/>
      </c>
      <c r="M35" s="1"/>
    </row>
    <row r="36" spans="1:13" ht="30" hidden="1" x14ac:dyDescent="0.25">
      <c r="A36" s="4" t="s">
        <v>95</v>
      </c>
      <c r="B36" s="5" t="s">
        <v>96</v>
      </c>
      <c r="C36" s="8">
        <v>46063</v>
      </c>
      <c r="D36" s="5" t="s">
        <v>97</v>
      </c>
      <c r="E36" s="1" t="s">
        <v>98</v>
      </c>
      <c r="F36" s="19" t="s">
        <v>109</v>
      </c>
      <c r="G36" s="1"/>
      <c r="H36" s="1"/>
      <c r="I36" s="1"/>
      <c r="J36" s="1" t="s">
        <v>115</v>
      </c>
      <c r="K36" s="22">
        <f t="shared" ca="1" si="0"/>
        <v>46126</v>
      </c>
      <c r="L36" s="20" t="str">
        <f>IF(Tabla1[[#This Row],[ESTATUS]]="REALIZADO","", Tabla1[[#This Row],[FECHA ACTUAL]]-Tabla1[[#This Row],[FECHA INICIO]])</f>
        <v/>
      </c>
      <c r="M36" s="1"/>
    </row>
    <row r="37" spans="1:13" ht="45" hidden="1" x14ac:dyDescent="0.25">
      <c r="A37" s="4" t="s">
        <v>100</v>
      </c>
      <c r="B37" s="9" t="s">
        <v>99</v>
      </c>
      <c r="C37" s="8">
        <v>46063</v>
      </c>
      <c r="D37" s="10" t="s">
        <v>101</v>
      </c>
      <c r="E37" s="1" t="s">
        <v>102</v>
      </c>
      <c r="F37" s="19" t="s">
        <v>109</v>
      </c>
      <c r="G37" s="1"/>
      <c r="H37" s="1"/>
      <c r="I37" s="1"/>
      <c r="J37" s="1" t="s">
        <v>115</v>
      </c>
      <c r="K37" s="22">
        <f t="shared" ca="1" si="0"/>
        <v>46126</v>
      </c>
      <c r="L37" s="20" t="str">
        <f>IF(Tabla1[[#This Row],[ESTATUS]]="REALIZADO","", Tabla1[[#This Row],[FECHA ACTUAL]]-Tabla1[[#This Row],[FECHA INICIO]])</f>
        <v/>
      </c>
      <c r="M37" s="1"/>
    </row>
    <row r="38" spans="1:13" ht="30" hidden="1" x14ac:dyDescent="0.25">
      <c r="A38" s="4" t="s">
        <v>104</v>
      </c>
      <c r="B38" s="5" t="s">
        <v>103</v>
      </c>
      <c r="C38" s="8">
        <v>46064</v>
      </c>
      <c r="D38" s="10" t="s">
        <v>106</v>
      </c>
      <c r="E38" s="1" t="s">
        <v>105</v>
      </c>
      <c r="F38" s="19" t="s">
        <v>109</v>
      </c>
      <c r="G38" s="1"/>
      <c r="H38" s="1"/>
      <c r="I38" s="1"/>
      <c r="J38" s="1" t="s">
        <v>115</v>
      </c>
      <c r="K38" s="23">
        <f t="shared" ca="1" si="0"/>
        <v>46126</v>
      </c>
      <c r="L38" s="20" t="str">
        <f>IF(Tabla1[[#This Row],[ESTATUS]]="REALIZADO","", Tabla1[[#This Row],[FECHA ACTUAL]]-Tabla1[[#This Row],[FECHA INICIO]])</f>
        <v/>
      </c>
      <c r="M38" s="1"/>
    </row>
    <row r="39" spans="1:13" ht="30" hidden="1" x14ac:dyDescent="0.25">
      <c r="A39" s="4" t="s">
        <v>118</v>
      </c>
      <c r="B39" s="5" t="s">
        <v>119</v>
      </c>
      <c r="C39" s="8">
        <v>46064</v>
      </c>
      <c r="D39" s="10" t="s">
        <v>120</v>
      </c>
      <c r="E39" s="5" t="s">
        <v>121</v>
      </c>
      <c r="F39" s="24" t="s">
        <v>109</v>
      </c>
      <c r="G39" s="5"/>
      <c r="H39" s="5"/>
      <c r="I39" s="5"/>
      <c r="J39" s="5" t="s">
        <v>115</v>
      </c>
      <c r="K39" s="23">
        <f t="shared" ref="K39:K44" ca="1" si="1">TODAY()</f>
        <v>46126</v>
      </c>
      <c r="L39" s="5" t="str">
        <f>IF(Tabla1[[#This Row],[ESTATUS]]="REALIZADO","", Tabla1[[#This Row],[FECHA ACTUAL]]-Tabla1[[#This Row],[FECHA INICIO]])</f>
        <v/>
      </c>
      <c r="M39" s="1"/>
    </row>
    <row r="40" spans="1:13" ht="30" hidden="1" x14ac:dyDescent="0.25">
      <c r="A40" s="4" t="s">
        <v>122</v>
      </c>
      <c r="B40" s="5" t="s">
        <v>123</v>
      </c>
      <c r="C40" s="8">
        <v>46072</v>
      </c>
      <c r="D40" s="10" t="s">
        <v>124</v>
      </c>
      <c r="E40" s="5" t="s">
        <v>125</v>
      </c>
      <c r="F40" s="24" t="s">
        <v>109</v>
      </c>
      <c r="G40" s="5"/>
      <c r="H40" s="5"/>
      <c r="I40" s="5"/>
      <c r="J40" s="5" t="s">
        <v>115</v>
      </c>
      <c r="K40" s="23">
        <f t="shared" ca="1" si="1"/>
        <v>46126</v>
      </c>
      <c r="L40" s="5" t="str">
        <f>IF(Tabla1[[#This Row],[ESTATUS]]="REALIZADO","", Tabla1[[#This Row],[FECHA ACTUAL]]-Tabla1[[#This Row],[FECHA INICIO]])</f>
        <v/>
      </c>
      <c r="M40" s="1"/>
    </row>
    <row r="41" spans="1:13" ht="30" hidden="1" x14ac:dyDescent="0.25">
      <c r="A41" s="4" t="s">
        <v>126</v>
      </c>
      <c r="B41" s="5" t="s">
        <v>127</v>
      </c>
      <c r="C41" s="8">
        <v>46073</v>
      </c>
      <c r="D41" s="10" t="s">
        <v>128</v>
      </c>
      <c r="E41" s="5" t="s">
        <v>67</v>
      </c>
      <c r="F41" s="24" t="s">
        <v>109</v>
      </c>
      <c r="G41" s="5"/>
      <c r="H41" s="5"/>
      <c r="I41" s="5"/>
      <c r="J41" s="5" t="s">
        <v>115</v>
      </c>
      <c r="K41" s="23">
        <f t="shared" ca="1" si="1"/>
        <v>46126</v>
      </c>
      <c r="L41" s="5" t="str">
        <f>IF(Tabla1[[#This Row],[ESTATUS]]="REALIZADO","", Tabla1[[#This Row],[FECHA ACTUAL]]-Tabla1[[#This Row],[FECHA INICIO]])</f>
        <v/>
      </c>
      <c r="M41" s="1"/>
    </row>
    <row r="42" spans="1:13" ht="30" hidden="1" x14ac:dyDescent="0.25">
      <c r="A42" s="4" t="s">
        <v>129</v>
      </c>
      <c r="B42" s="5" t="s">
        <v>130</v>
      </c>
      <c r="C42" s="8">
        <v>46073</v>
      </c>
      <c r="D42" s="10" t="s">
        <v>131</v>
      </c>
      <c r="E42" s="5" t="s">
        <v>132</v>
      </c>
      <c r="F42" s="24" t="s">
        <v>133</v>
      </c>
      <c r="G42" s="5"/>
      <c r="H42" s="5"/>
      <c r="I42" s="5"/>
      <c r="J42" s="5" t="s">
        <v>115</v>
      </c>
      <c r="K42" s="23">
        <f t="shared" ca="1" si="1"/>
        <v>46126</v>
      </c>
      <c r="L42" s="5" t="str">
        <f>IF(Tabla1[[#This Row],[ESTATUS]]="REALIZADO","", Tabla1[[#This Row],[FECHA ACTUAL]]-Tabla1[[#This Row],[FECHA INICIO]])</f>
        <v/>
      </c>
      <c r="M42" s="1"/>
    </row>
    <row r="43" spans="1:13" ht="30" hidden="1" x14ac:dyDescent="0.25">
      <c r="A43" s="4" t="s">
        <v>134</v>
      </c>
      <c r="B43" s="5" t="s">
        <v>135</v>
      </c>
      <c r="C43" s="8">
        <v>46073</v>
      </c>
      <c r="D43" s="10" t="s">
        <v>136</v>
      </c>
      <c r="E43" s="5" t="s">
        <v>137</v>
      </c>
      <c r="F43" s="24" t="s">
        <v>109</v>
      </c>
      <c r="G43" s="5"/>
      <c r="H43" s="5"/>
      <c r="I43" s="5"/>
      <c r="J43" s="5" t="s">
        <v>115</v>
      </c>
      <c r="K43" s="23">
        <f t="shared" ca="1" si="1"/>
        <v>46126</v>
      </c>
      <c r="L43" s="5" t="str">
        <f>IF(Tabla1[[#This Row],[ESTATUS]]="REALIZADO","", Tabla1[[#This Row],[FECHA ACTUAL]]-Tabla1[[#This Row],[FECHA INICIO]])</f>
        <v/>
      </c>
      <c r="M43" s="1"/>
    </row>
    <row r="44" spans="1:13" ht="30" hidden="1" x14ac:dyDescent="0.25">
      <c r="A44" s="4" t="s">
        <v>139</v>
      </c>
      <c r="B44" s="5" t="s">
        <v>138</v>
      </c>
      <c r="C44" s="8">
        <v>46076</v>
      </c>
      <c r="D44" s="10" t="s">
        <v>140</v>
      </c>
      <c r="E44" s="5" t="s">
        <v>121</v>
      </c>
      <c r="F44" s="24" t="s">
        <v>109</v>
      </c>
      <c r="G44" s="1"/>
      <c r="H44" s="5"/>
      <c r="I44" s="5"/>
      <c r="J44" s="5" t="s">
        <v>115</v>
      </c>
      <c r="K44" s="23">
        <f t="shared" ca="1" si="1"/>
        <v>46126</v>
      </c>
      <c r="L44" s="5" t="str">
        <f>IF(Tabla1[[#This Row],[ESTATUS]]="REALIZADO","", Tabla1[[#This Row],[FECHA ACTUAL]]-Tabla1[[#This Row],[FECHA INICIO]])</f>
        <v/>
      </c>
      <c r="M44" s="22">
        <v>46119</v>
      </c>
    </row>
    <row r="45" spans="1:13" ht="30" hidden="1" x14ac:dyDescent="0.25">
      <c r="A45" s="4" t="s">
        <v>55</v>
      </c>
      <c r="B45" s="5" t="s">
        <v>142</v>
      </c>
      <c r="C45" s="8">
        <v>46077</v>
      </c>
      <c r="D45" s="10" t="s">
        <v>141</v>
      </c>
      <c r="E45" s="5" t="s">
        <v>121</v>
      </c>
      <c r="F45" s="24" t="s">
        <v>109</v>
      </c>
      <c r="G45" s="5"/>
      <c r="H45" s="5"/>
      <c r="I45" s="5"/>
      <c r="J45" s="5" t="s">
        <v>115</v>
      </c>
      <c r="K45" s="23">
        <f t="shared" ref="K45:K50" ca="1" si="2">TODAY()</f>
        <v>46126</v>
      </c>
      <c r="L45" s="5" t="str">
        <f>IF(Tabla1[[#This Row],[ESTATUS]]="REALIZADO","", Tabla1[[#This Row],[FECHA ACTUAL]]-Tabla1[[#This Row],[FECHA INICIO]])</f>
        <v/>
      </c>
      <c r="M45" s="1"/>
    </row>
    <row r="46" spans="1:13" ht="30" x14ac:dyDescent="0.25">
      <c r="A46" s="2" t="s">
        <v>144</v>
      </c>
      <c r="B46" s="1" t="s">
        <v>143</v>
      </c>
      <c r="C46" s="8">
        <v>46077</v>
      </c>
      <c r="D46" s="7" t="s">
        <v>145</v>
      </c>
      <c r="E46" s="1">
        <v>1</v>
      </c>
      <c r="F46" s="24" t="s">
        <v>109</v>
      </c>
      <c r="G46" s="5" t="s">
        <v>114</v>
      </c>
      <c r="H46" s="1"/>
      <c r="I46" s="1"/>
      <c r="J46" s="1"/>
      <c r="K46" s="22">
        <f t="shared" ca="1" si="2"/>
        <v>46126</v>
      </c>
      <c r="L46" s="1">
        <f ca="1">IF(Tabla1[[#This Row],[ESTATUS]]="REALIZADO","", Tabla1[[#This Row],[FECHA ACTUAL]]-Tabla1[[#This Row],[FECHA INICIO]])</f>
        <v>49</v>
      </c>
      <c r="M46" s="1"/>
    </row>
    <row r="47" spans="1:13" ht="30" x14ac:dyDescent="0.25">
      <c r="A47" s="4" t="s">
        <v>147</v>
      </c>
      <c r="B47" s="5" t="s">
        <v>146</v>
      </c>
      <c r="C47" s="8">
        <v>46077</v>
      </c>
      <c r="D47" s="7" t="s">
        <v>145</v>
      </c>
      <c r="E47" s="1">
        <v>1</v>
      </c>
      <c r="F47" s="24" t="s">
        <v>109</v>
      </c>
      <c r="G47" s="5" t="s">
        <v>114</v>
      </c>
      <c r="H47" s="5"/>
      <c r="I47" s="5"/>
      <c r="J47" s="5"/>
      <c r="K47" s="23">
        <f t="shared" ca="1" si="2"/>
        <v>46126</v>
      </c>
      <c r="L47" s="5">
        <f ca="1">IF(Tabla1[[#This Row],[ESTATUS]]="REALIZADO","", Tabla1[[#This Row],[FECHA ACTUAL]]-Tabla1[[#This Row],[FECHA INICIO]])</f>
        <v>49</v>
      </c>
      <c r="M47" s="1"/>
    </row>
    <row r="48" spans="1:13" ht="30" x14ac:dyDescent="0.25">
      <c r="A48" s="4" t="s">
        <v>149</v>
      </c>
      <c r="B48" s="5" t="s">
        <v>148</v>
      </c>
      <c r="C48" s="8">
        <v>46077</v>
      </c>
      <c r="D48" s="7" t="s">
        <v>145</v>
      </c>
      <c r="E48" s="1">
        <v>1</v>
      </c>
      <c r="F48" s="24" t="s">
        <v>109</v>
      </c>
      <c r="G48" s="5" t="s">
        <v>114</v>
      </c>
      <c r="H48" s="5"/>
      <c r="I48" s="5"/>
      <c r="J48" s="5"/>
      <c r="K48" s="23">
        <f t="shared" ca="1" si="2"/>
        <v>46126</v>
      </c>
      <c r="L48" s="5">
        <f ca="1">IF(Tabla1[[#This Row],[ESTATUS]]="REALIZADO","", Tabla1[[#This Row],[FECHA ACTUAL]]-Tabla1[[#This Row],[FECHA INICIO]])</f>
        <v>49</v>
      </c>
      <c r="M48" s="1"/>
    </row>
    <row r="49" spans="1:13" ht="30" x14ac:dyDescent="0.25">
      <c r="A49" s="4" t="s">
        <v>156</v>
      </c>
      <c r="B49" s="10" t="s">
        <v>155</v>
      </c>
      <c r="C49" s="8">
        <v>46078</v>
      </c>
      <c r="D49" s="10" t="s">
        <v>157</v>
      </c>
      <c r="E49" s="5">
        <v>1</v>
      </c>
      <c r="F49" s="24" t="s">
        <v>109</v>
      </c>
      <c r="G49" s="5" t="s">
        <v>114</v>
      </c>
      <c r="H49" s="5"/>
      <c r="I49" s="5"/>
      <c r="J49" s="5"/>
      <c r="K49" s="23">
        <f t="shared" ca="1" si="2"/>
        <v>46126</v>
      </c>
      <c r="L49" s="5">
        <f ca="1">IF(Tabla1[[#This Row],[ESTATUS]]="REALIZADO","", Tabla1[[#This Row],[FECHA ACTUAL]]-Tabla1[[#This Row],[FECHA INICIO]])</f>
        <v>48</v>
      </c>
      <c r="M49" s="1"/>
    </row>
    <row r="50" spans="1:13" ht="75" hidden="1" x14ac:dyDescent="0.25">
      <c r="A50" s="4" t="s">
        <v>158</v>
      </c>
      <c r="B50" s="5" t="s">
        <v>159</v>
      </c>
      <c r="C50" s="8">
        <v>46086</v>
      </c>
      <c r="D50" s="10" t="s">
        <v>160</v>
      </c>
      <c r="E50" s="5" t="s">
        <v>67</v>
      </c>
      <c r="F50" s="24" t="s">
        <v>109</v>
      </c>
      <c r="G50" s="5"/>
      <c r="H50" s="5"/>
      <c r="I50" s="5"/>
      <c r="J50" s="5" t="s">
        <v>115</v>
      </c>
      <c r="K50" s="23">
        <f t="shared" ca="1" si="2"/>
        <v>46126</v>
      </c>
      <c r="L50" s="5" t="str">
        <f>IF(Tabla1[[#This Row],[ESTATUS]]="REALIZADO","", Tabla1[[#This Row],[FECHA ACTUAL]]-Tabla1[[#This Row],[FECHA INICIO]])</f>
        <v/>
      </c>
      <c r="M50" s="1"/>
    </row>
    <row r="51" spans="1:13" ht="30" x14ac:dyDescent="0.25">
      <c r="A51" s="2" t="s">
        <v>161</v>
      </c>
      <c r="B51" s="1" t="s">
        <v>162</v>
      </c>
      <c r="C51" s="3">
        <v>46086</v>
      </c>
      <c r="D51" s="1" t="s">
        <v>163</v>
      </c>
      <c r="E51" s="1">
        <v>2</v>
      </c>
      <c r="F51" s="19" t="s">
        <v>109</v>
      </c>
      <c r="G51" s="1"/>
      <c r="H51" s="1"/>
      <c r="I51" s="1" t="s">
        <v>114</v>
      </c>
      <c r="J51" s="1"/>
      <c r="K51" s="22">
        <f t="shared" ref="K51:K53" ca="1" si="3">TODAY()</f>
        <v>46126</v>
      </c>
      <c r="L51" s="1">
        <f ca="1">IF(Tabla1[[#This Row],[ESTATUS]]="REALIZADO","", Tabla1[[#This Row],[FECHA ACTUAL]]-Tabla1[[#This Row],[FECHA INICIO]])</f>
        <v>40</v>
      </c>
      <c r="M51" s="1"/>
    </row>
    <row r="52" spans="1:13" ht="90" x14ac:dyDescent="0.25">
      <c r="A52" s="2" t="s">
        <v>165</v>
      </c>
      <c r="B52" s="1" t="s">
        <v>166</v>
      </c>
      <c r="C52" s="8">
        <v>46086</v>
      </c>
      <c r="D52" s="7" t="s">
        <v>167</v>
      </c>
      <c r="E52" s="1">
        <v>3</v>
      </c>
      <c r="F52" s="19" t="s">
        <v>109</v>
      </c>
      <c r="G52" s="1"/>
      <c r="H52" s="1"/>
      <c r="I52" s="1" t="s">
        <v>114</v>
      </c>
      <c r="J52" s="1"/>
      <c r="K52" s="22">
        <f t="shared" ca="1" si="3"/>
        <v>46126</v>
      </c>
      <c r="L52" s="1">
        <f ca="1">IF(Tabla1[[#This Row],[ESTATUS]]="REALIZADO","", Tabla1[[#This Row],[FECHA ACTUAL]]-Tabla1[[#This Row],[FECHA INICIO]])</f>
        <v>40</v>
      </c>
      <c r="M52" s="1"/>
    </row>
    <row r="53" spans="1:13" ht="105" x14ac:dyDescent="0.25">
      <c r="A53" s="2" t="s">
        <v>168</v>
      </c>
      <c r="B53" s="1" t="s">
        <v>169</v>
      </c>
      <c r="C53" s="3">
        <v>46092</v>
      </c>
      <c r="D53" s="7" t="s">
        <v>170</v>
      </c>
      <c r="E53" s="1">
        <v>1</v>
      </c>
      <c r="F53" s="19" t="s">
        <v>109</v>
      </c>
      <c r="G53" s="1" t="s">
        <v>114</v>
      </c>
      <c r="H53" s="1"/>
      <c r="I53" s="1"/>
      <c r="J53" s="1"/>
      <c r="K53" s="22">
        <f t="shared" ca="1" si="3"/>
        <v>46126</v>
      </c>
      <c r="L53" s="1">
        <f ca="1">IF(Tabla1[[#This Row],[ESTATUS]]="REALIZADO","", Tabla1[[#This Row],[FECHA ACTUAL]]-Tabla1[[#This Row],[FECHA INICIO]])</f>
        <v>34</v>
      </c>
      <c r="M53" s="5"/>
    </row>
    <row r="54" spans="1:13" ht="60" x14ac:dyDescent="0.25">
      <c r="A54" s="4" t="s">
        <v>171</v>
      </c>
      <c r="B54" s="5" t="s">
        <v>172</v>
      </c>
      <c r="C54" s="8">
        <v>46094</v>
      </c>
      <c r="D54" s="10" t="s">
        <v>173</v>
      </c>
      <c r="E54" s="5">
        <v>1</v>
      </c>
      <c r="F54" s="24" t="s">
        <v>109</v>
      </c>
      <c r="G54" s="5"/>
      <c r="H54" s="5"/>
      <c r="I54" s="5" t="s">
        <v>114</v>
      </c>
      <c r="J54" s="5"/>
      <c r="K54" s="23">
        <f t="shared" ref="K54:K59" ca="1" si="4">TODAY()</f>
        <v>46126</v>
      </c>
      <c r="L54" s="5">
        <f ca="1">IF(Tabla1[[#This Row],[ESTATUS]]="REALIZADO","", Tabla1[[#This Row],[FECHA ACTUAL]]-Tabla1[[#This Row],[FECHA INICIO]])</f>
        <v>32</v>
      </c>
      <c r="M54" s="5"/>
    </row>
    <row r="55" spans="1:13" ht="60" x14ac:dyDescent="0.25">
      <c r="A55" s="4" t="s">
        <v>174</v>
      </c>
      <c r="B55" s="5" t="s">
        <v>175</v>
      </c>
      <c r="C55" s="8">
        <v>46094</v>
      </c>
      <c r="D55" s="10" t="s">
        <v>173</v>
      </c>
      <c r="E55" s="5">
        <v>1</v>
      </c>
      <c r="F55" s="24" t="s">
        <v>109</v>
      </c>
      <c r="G55" s="5"/>
      <c r="H55" s="5"/>
      <c r="I55" s="5" t="s">
        <v>114</v>
      </c>
      <c r="J55" s="5"/>
      <c r="K55" s="23">
        <f t="shared" ca="1" si="4"/>
        <v>46126</v>
      </c>
      <c r="L55" s="5">
        <f ca="1">IF(Tabla1[[#This Row],[ESTATUS]]="REALIZADO","", Tabla1[[#This Row],[FECHA ACTUAL]]-Tabla1[[#This Row],[FECHA INICIO]])</f>
        <v>32</v>
      </c>
      <c r="M55" s="5"/>
    </row>
    <row r="56" spans="1:13" ht="45" x14ac:dyDescent="0.25">
      <c r="A56" s="4" t="s">
        <v>177</v>
      </c>
      <c r="B56" s="5" t="s">
        <v>176</v>
      </c>
      <c r="C56" s="8">
        <v>46094</v>
      </c>
      <c r="D56" s="10" t="s">
        <v>178</v>
      </c>
      <c r="E56" s="5">
        <v>1</v>
      </c>
      <c r="F56" s="24" t="s">
        <v>109</v>
      </c>
      <c r="G56" s="5" t="s">
        <v>114</v>
      </c>
      <c r="H56" s="5"/>
      <c r="I56" s="5"/>
      <c r="J56" s="5"/>
      <c r="K56" s="23">
        <f t="shared" ca="1" si="4"/>
        <v>46126</v>
      </c>
      <c r="L56" s="5">
        <f ca="1">IF(Tabla1[[#This Row],[ESTATUS]]="REALIZADO","", Tabla1[[#This Row],[FECHA ACTUAL]]-Tabla1[[#This Row],[FECHA INICIO]])</f>
        <v>32</v>
      </c>
      <c r="M56" s="5"/>
    </row>
    <row r="57" spans="1:13" ht="30" x14ac:dyDescent="0.25">
      <c r="A57" s="4" t="s">
        <v>180</v>
      </c>
      <c r="B57" s="5" t="s">
        <v>179</v>
      </c>
      <c r="C57" s="8">
        <v>46094</v>
      </c>
      <c r="D57" s="10" t="s">
        <v>120</v>
      </c>
      <c r="E57" s="5">
        <v>4</v>
      </c>
      <c r="F57" s="24" t="s">
        <v>109</v>
      </c>
      <c r="G57" s="5" t="s">
        <v>114</v>
      </c>
      <c r="H57" s="5"/>
      <c r="I57" s="5"/>
      <c r="J57" s="5"/>
      <c r="K57" s="23">
        <f t="shared" ca="1" si="4"/>
        <v>46126</v>
      </c>
      <c r="L57" s="5">
        <f ca="1">IF(Tabla1[[#This Row],[ESTATUS]]="REALIZADO","", Tabla1[[#This Row],[FECHA ACTUAL]]-Tabla1[[#This Row],[FECHA INICIO]])</f>
        <v>32</v>
      </c>
      <c r="M57" s="5"/>
    </row>
    <row r="58" spans="1:13" ht="30" x14ac:dyDescent="0.25">
      <c r="A58" s="4" t="s">
        <v>181</v>
      </c>
      <c r="B58" s="5" t="s">
        <v>182</v>
      </c>
      <c r="C58" s="8">
        <v>46094</v>
      </c>
      <c r="D58" s="5" t="s">
        <v>183</v>
      </c>
      <c r="E58" s="5">
        <v>1</v>
      </c>
      <c r="F58" s="24" t="s">
        <v>109</v>
      </c>
      <c r="G58" s="5"/>
      <c r="H58" s="5"/>
      <c r="I58" s="5" t="s">
        <v>114</v>
      </c>
      <c r="J58" s="5"/>
      <c r="K58" s="23">
        <f t="shared" ca="1" si="4"/>
        <v>46126</v>
      </c>
      <c r="L58" s="5">
        <f ca="1">IF(Tabla1[[#This Row],[ESTATUS]]="REALIZADO","", Tabla1[[#This Row],[FECHA ACTUAL]]-Tabla1[[#This Row],[FECHA INICIO]])</f>
        <v>32</v>
      </c>
      <c r="M58" s="5"/>
    </row>
    <row r="59" spans="1:13" ht="30" x14ac:dyDescent="0.25">
      <c r="A59" s="4" t="s">
        <v>184</v>
      </c>
      <c r="B59" s="5" t="s">
        <v>185</v>
      </c>
      <c r="C59" s="8">
        <v>46098</v>
      </c>
      <c r="D59" s="10" t="s">
        <v>186</v>
      </c>
      <c r="E59" s="5">
        <v>2</v>
      </c>
      <c r="F59" s="24" t="s">
        <v>109</v>
      </c>
      <c r="G59" s="5"/>
      <c r="H59" s="5"/>
      <c r="I59" s="5" t="s">
        <v>114</v>
      </c>
      <c r="J59" s="5"/>
      <c r="K59" s="23">
        <f t="shared" ca="1" si="4"/>
        <v>46126</v>
      </c>
      <c r="L59" s="5">
        <f ca="1">IF(Tabla1[[#This Row],[ESTATUS]]="REALIZADO","", Tabla1[[#This Row],[FECHA ACTUAL]]-Tabla1[[#This Row],[FECHA INICIO]])</f>
        <v>28</v>
      </c>
      <c r="M59" s="5"/>
    </row>
    <row r="60" spans="1:13" ht="30" x14ac:dyDescent="0.25">
      <c r="A60" s="4" t="s">
        <v>187</v>
      </c>
      <c r="B60" s="5" t="s">
        <v>188</v>
      </c>
      <c r="C60" s="8">
        <v>46104</v>
      </c>
      <c r="D60" s="5" t="s">
        <v>189</v>
      </c>
      <c r="E60" s="5">
        <v>2</v>
      </c>
      <c r="F60" s="24" t="s">
        <v>109</v>
      </c>
      <c r="G60" s="5" t="s">
        <v>114</v>
      </c>
      <c r="H60" s="5"/>
      <c r="I60" s="5"/>
      <c r="J60" s="5"/>
      <c r="K60" s="23">
        <f t="shared" ref="K60:K65" ca="1" si="5">TODAY()</f>
        <v>46126</v>
      </c>
      <c r="L60" s="5">
        <f ca="1">IF(Tabla1[[#This Row],[ESTATUS]]="REALIZADO","", Tabla1[[#This Row],[FECHA ACTUAL]]-Tabla1[[#This Row],[FECHA INICIO]])</f>
        <v>22</v>
      </c>
      <c r="M60" s="5"/>
    </row>
    <row r="61" spans="1:13" ht="30" x14ac:dyDescent="0.25">
      <c r="A61" s="4" t="s">
        <v>190</v>
      </c>
      <c r="B61" s="5" t="s">
        <v>191</v>
      </c>
      <c r="C61" s="8">
        <v>46104</v>
      </c>
      <c r="D61" s="10" t="s">
        <v>192</v>
      </c>
      <c r="E61" s="5">
        <v>5</v>
      </c>
      <c r="F61" s="24" t="s">
        <v>109</v>
      </c>
      <c r="G61" s="5" t="s">
        <v>114</v>
      </c>
      <c r="H61" s="5"/>
      <c r="I61" s="5"/>
      <c r="J61" s="5"/>
      <c r="K61" s="23">
        <f t="shared" ca="1" si="5"/>
        <v>46126</v>
      </c>
      <c r="L61" s="5">
        <f ca="1">IF(Tabla1[[#This Row],[ESTATUS]]="REALIZADO","", Tabla1[[#This Row],[FECHA ACTUAL]]-Tabla1[[#This Row],[FECHA INICIO]])</f>
        <v>22</v>
      </c>
      <c r="M61" s="5"/>
    </row>
    <row r="62" spans="1:13" ht="48" customHeight="1" x14ac:dyDescent="0.25">
      <c r="A62" s="4" t="s">
        <v>193</v>
      </c>
      <c r="B62" s="10" t="s">
        <v>194</v>
      </c>
      <c r="C62" s="8">
        <v>46104</v>
      </c>
      <c r="D62" s="10" t="s">
        <v>195</v>
      </c>
      <c r="E62" s="5">
        <v>2</v>
      </c>
      <c r="F62" s="24" t="s">
        <v>109</v>
      </c>
      <c r="G62" s="5" t="s">
        <v>114</v>
      </c>
      <c r="H62" s="5"/>
      <c r="I62" s="5"/>
      <c r="J62" s="5"/>
      <c r="K62" s="23">
        <f t="shared" ca="1" si="5"/>
        <v>46126</v>
      </c>
      <c r="L62" s="5">
        <f ca="1">IF(Tabla1[[#This Row],[ESTATUS]]="REALIZADO","", Tabla1[[#This Row],[FECHA ACTUAL]]-Tabla1[[#This Row],[FECHA INICIO]])</f>
        <v>22</v>
      </c>
      <c r="M62" s="5"/>
    </row>
    <row r="63" spans="1:13" ht="45" x14ac:dyDescent="0.25">
      <c r="A63" s="4" t="s">
        <v>196</v>
      </c>
      <c r="B63" s="5" t="s">
        <v>197</v>
      </c>
      <c r="C63" s="8">
        <v>46105</v>
      </c>
      <c r="D63" s="10" t="s">
        <v>198</v>
      </c>
      <c r="E63" s="5">
        <v>1</v>
      </c>
      <c r="F63" s="24" t="s">
        <v>109</v>
      </c>
      <c r="G63" s="5" t="s">
        <v>114</v>
      </c>
      <c r="H63" s="5"/>
      <c r="I63" s="5"/>
      <c r="J63" s="5"/>
      <c r="K63" s="23">
        <f t="shared" ca="1" si="5"/>
        <v>46126</v>
      </c>
      <c r="L63" s="5">
        <f ca="1">IF(Tabla1[[#This Row],[ESTATUS]]="REALIZADO","", Tabla1[[#This Row],[FECHA ACTUAL]]-Tabla1[[#This Row],[FECHA INICIO]])</f>
        <v>21</v>
      </c>
      <c r="M63" s="5"/>
    </row>
    <row r="64" spans="1:13" ht="75" x14ac:dyDescent="0.25">
      <c r="A64" s="4" t="s">
        <v>199</v>
      </c>
      <c r="B64" s="5" t="s">
        <v>200</v>
      </c>
      <c r="C64" s="8">
        <v>46105</v>
      </c>
      <c r="D64" s="10" t="s">
        <v>201</v>
      </c>
      <c r="E64" s="5">
        <v>4</v>
      </c>
      <c r="F64" s="24" t="s">
        <v>109</v>
      </c>
      <c r="G64" s="5" t="s">
        <v>114</v>
      </c>
      <c r="H64" s="5"/>
      <c r="I64" s="5"/>
      <c r="J64" s="5"/>
      <c r="K64" s="23">
        <f t="shared" ca="1" si="5"/>
        <v>46126</v>
      </c>
      <c r="L64" s="5">
        <f ca="1">IF(Tabla1[[#This Row],[ESTATUS]]="REALIZADO","", Tabla1[[#This Row],[FECHA ACTUAL]]-Tabla1[[#This Row],[FECHA INICIO]])</f>
        <v>21</v>
      </c>
      <c r="M64" s="5"/>
    </row>
    <row r="65" spans="1:13" ht="30" x14ac:dyDescent="0.25">
      <c r="A65" s="4" t="s">
        <v>205</v>
      </c>
      <c r="B65" s="5" t="s">
        <v>206</v>
      </c>
      <c r="C65" s="8">
        <v>46108</v>
      </c>
      <c r="D65" s="5" t="s">
        <v>207</v>
      </c>
      <c r="E65" s="5">
        <v>2</v>
      </c>
      <c r="F65" s="24" t="s">
        <v>109</v>
      </c>
      <c r="G65" s="5" t="s">
        <v>114</v>
      </c>
      <c r="H65" s="5"/>
      <c r="I65" s="5"/>
      <c r="J65" s="5"/>
      <c r="K65" s="23">
        <f t="shared" ca="1" si="5"/>
        <v>46126</v>
      </c>
      <c r="L65" s="5">
        <f ca="1">IF(Tabla1[[#This Row],[ESTATUS]]="REALIZADO","", Tabla1[[#This Row],[FECHA ACTUAL]]-Tabla1[[#This Row],[FECHA INICIO]])</f>
        <v>18</v>
      </c>
      <c r="M65" s="5"/>
    </row>
    <row r="66" spans="1:13" ht="30" x14ac:dyDescent="0.25">
      <c r="A66" s="4" t="s">
        <v>208</v>
      </c>
      <c r="B66" s="5" t="s">
        <v>209</v>
      </c>
      <c r="C66" s="8">
        <v>46113</v>
      </c>
      <c r="D66" s="10" t="s">
        <v>210</v>
      </c>
      <c r="E66" s="5">
        <v>2</v>
      </c>
      <c r="F66" s="24" t="s">
        <v>109</v>
      </c>
      <c r="G66" s="5"/>
      <c r="H66" s="5"/>
      <c r="I66" s="5"/>
      <c r="J66" s="5" t="s">
        <v>115</v>
      </c>
      <c r="K66" s="23">
        <f t="shared" ref="K66:K71" ca="1" si="6">TODAY()</f>
        <v>46126</v>
      </c>
      <c r="L66" s="5" t="str">
        <f>IF(Tabla1[[#This Row],[ESTATUS]]="REALIZADO","", Tabla1[[#This Row],[FECHA ACTUAL]]-Tabla1[[#This Row],[FECHA INICIO]])</f>
        <v/>
      </c>
      <c r="M66" s="23">
        <v>46105</v>
      </c>
    </row>
    <row r="67" spans="1:13" ht="30" x14ac:dyDescent="0.25">
      <c r="A67" s="4" t="s">
        <v>211</v>
      </c>
      <c r="B67" s="5" t="s">
        <v>212</v>
      </c>
      <c r="C67" s="8">
        <v>46113</v>
      </c>
      <c r="D67" s="10" t="s">
        <v>213</v>
      </c>
      <c r="E67" s="5">
        <v>4</v>
      </c>
      <c r="F67" s="24" t="s">
        <v>109</v>
      </c>
      <c r="G67" s="5" t="s">
        <v>114</v>
      </c>
      <c r="H67" s="5"/>
      <c r="I67" s="5"/>
      <c r="J67" s="5"/>
      <c r="K67" s="23">
        <f t="shared" ca="1" si="6"/>
        <v>46126</v>
      </c>
      <c r="L67" s="5">
        <f ca="1">IF(Tabla1[[#This Row],[ESTATUS]]="REALIZADO","", Tabla1[[#This Row],[FECHA ACTUAL]]-Tabla1[[#This Row],[FECHA INICIO]])</f>
        <v>13</v>
      </c>
      <c r="M67" s="5"/>
    </row>
    <row r="68" spans="1:13" ht="30" x14ac:dyDescent="0.25">
      <c r="A68" s="4" t="s">
        <v>215</v>
      </c>
      <c r="B68" s="5" t="s">
        <v>216</v>
      </c>
      <c r="C68" s="8">
        <v>46113</v>
      </c>
      <c r="D68" s="10" t="s">
        <v>214</v>
      </c>
      <c r="E68" s="5">
        <v>2</v>
      </c>
      <c r="F68" s="24" t="s">
        <v>109</v>
      </c>
      <c r="G68" s="5" t="s">
        <v>114</v>
      </c>
      <c r="H68" s="5"/>
      <c r="I68" s="5"/>
      <c r="J68" s="5"/>
      <c r="K68" s="23">
        <f t="shared" ca="1" si="6"/>
        <v>46126</v>
      </c>
      <c r="L68" s="5">
        <f ca="1">IF(Tabla1[[#This Row],[ESTATUS]]="REALIZADO","", Tabla1[[#This Row],[FECHA ACTUAL]]-Tabla1[[#This Row],[FECHA INICIO]])</f>
        <v>13</v>
      </c>
      <c r="M68" s="5"/>
    </row>
    <row r="69" spans="1:13" ht="30" x14ac:dyDescent="0.25">
      <c r="A69" s="4" t="s">
        <v>217</v>
      </c>
      <c r="B69" s="5" t="s">
        <v>218</v>
      </c>
      <c r="C69" s="8">
        <v>46113</v>
      </c>
      <c r="D69" s="5" t="s">
        <v>219</v>
      </c>
      <c r="E69" s="5">
        <v>1</v>
      </c>
      <c r="F69" s="24" t="s">
        <v>109</v>
      </c>
      <c r="G69" s="5"/>
      <c r="H69" s="5"/>
      <c r="I69" s="5" t="s">
        <v>114</v>
      </c>
      <c r="J69" s="5"/>
      <c r="K69" s="23">
        <f t="shared" ca="1" si="6"/>
        <v>46126</v>
      </c>
      <c r="L69" s="5">
        <f ca="1">IF(Tabla1[[#This Row],[ESTATUS]]="REALIZADO","", Tabla1[[#This Row],[FECHA ACTUAL]]-Tabla1[[#This Row],[FECHA INICIO]])</f>
        <v>13</v>
      </c>
      <c r="M69" s="5"/>
    </row>
    <row r="70" spans="1:13" ht="59.1" customHeight="1" x14ac:dyDescent="0.25">
      <c r="A70" s="4" t="s">
        <v>220</v>
      </c>
      <c r="B70" s="10" t="s">
        <v>221</v>
      </c>
      <c r="C70" s="8">
        <v>46113</v>
      </c>
      <c r="D70" s="10" t="s">
        <v>222</v>
      </c>
      <c r="E70" s="5">
        <v>4</v>
      </c>
      <c r="F70" s="24" t="s">
        <v>109</v>
      </c>
      <c r="G70" s="5" t="s">
        <v>114</v>
      </c>
      <c r="H70" s="5"/>
      <c r="I70" s="5"/>
      <c r="J70" s="5"/>
      <c r="K70" s="23">
        <f t="shared" ca="1" si="6"/>
        <v>46126</v>
      </c>
      <c r="L70" s="5">
        <f ca="1">IF(Tabla1[[#This Row],[ESTATUS]]="REALIZADO","", Tabla1[[#This Row],[FECHA ACTUAL]]-Tabla1[[#This Row],[FECHA INICIO]])</f>
        <v>13</v>
      </c>
      <c r="M70" s="5"/>
    </row>
    <row r="71" spans="1:13" ht="30" x14ac:dyDescent="0.25">
      <c r="A71" s="4" t="s">
        <v>223</v>
      </c>
      <c r="B71" s="5" t="s">
        <v>224</v>
      </c>
      <c r="C71" s="8">
        <v>46118</v>
      </c>
      <c r="D71" s="10" t="s">
        <v>225</v>
      </c>
      <c r="E71" s="5">
        <v>2</v>
      </c>
      <c r="F71" s="24" t="s">
        <v>109</v>
      </c>
      <c r="G71" s="5" t="s">
        <v>114</v>
      </c>
      <c r="H71" s="5"/>
      <c r="I71" s="5"/>
      <c r="J71" s="5"/>
      <c r="K71" s="23">
        <f t="shared" ca="1" si="6"/>
        <v>46126</v>
      </c>
      <c r="L71" s="5">
        <f ca="1">IF(Tabla1[[#This Row],[ESTATUS]]="REALIZADO","", Tabla1[[#This Row],[FECHA ACTUAL]]-Tabla1[[#This Row],[FECHA INICIO]])</f>
        <v>8</v>
      </c>
      <c r="M71" s="5"/>
    </row>
    <row r="72" spans="1:13" ht="30" x14ac:dyDescent="0.25">
      <c r="A72" s="4" t="s">
        <v>226</v>
      </c>
      <c r="B72" s="5" t="s">
        <v>227</v>
      </c>
      <c r="C72" s="8">
        <v>46119</v>
      </c>
      <c r="D72" s="10" t="s">
        <v>228</v>
      </c>
      <c r="E72" s="5">
        <v>2</v>
      </c>
      <c r="F72" s="24" t="s">
        <v>109</v>
      </c>
      <c r="G72" s="5" t="s">
        <v>114</v>
      </c>
      <c r="H72" s="5"/>
      <c r="I72" s="5"/>
      <c r="J72" s="5"/>
      <c r="K72" s="23">
        <f t="shared" ref="K72:K77" ca="1" si="7">TODAY()</f>
        <v>46126</v>
      </c>
      <c r="L72" s="5">
        <f ca="1">IF(Tabla1[[#This Row],[ESTATUS]]="REALIZADO","", Tabla1[[#This Row],[FECHA ACTUAL]]-Tabla1[[#This Row],[FECHA INICIO]])</f>
        <v>7</v>
      </c>
      <c r="M72" s="5"/>
    </row>
    <row r="73" spans="1:13" ht="30" x14ac:dyDescent="0.25">
      <c r="A73" s="4" t="s">
        <v>229</v>
      </c>
      <c r="B73" s="5" t="s">
        <v>230</v>
      </c>
      <c r="C73" s="8">
        <v>46119</v>
      </c>
      <c r="D73" s="10" t="s">
        <v>239</v>
      </c>
      <c r="E73" s="5">
        <v>1</v>
      </c>
      <c r="F73" s="24" t="s">
        <v>109</v>
      </c>
      <c r="G73" s="5" t="s">
        <v>114</v>
      </c>
      <c r="H73" s="5"/>
      <c r="I73" s="5"/>
      <c r="J73" s="5"/>
      <c r="K73" s="23">
        <f t="shared" ca="1" si="7"/>
        <v>46126</v>
      </c>
      <c r="L73" s="5">
        <f ca="1">IF(Tabla1[[#This Row],[ESTATUS]]="REALIZADO","", Tabla1[[#This Row],[FECHA ACTUAL]]-Tabla1[[#This Row],[FECHA INICIO]])</f>
        <v>7</v>
      </c>
      <c r="M73" s="5"/>
    </row>
    <row r="74" spans="1:13" ht="60" x14ac:dyDescent="0.25">
      <c r="A74" s="4" t="s">
        <v>229</v>
      </c>
      <c r="B74" s="5" t="s">
        <v>230</v>
      </c>
      <c r="C74" s="8">
        <v>46119</v>
      </c>
      <c r="D74" s="7" t="s">
        <v>240</v>
      </c>
      <c r="E74" s="1">
        <v>2</v>
      </c>
      <c r="F74" s="19" t="s">
        <v>109</v>
      </c>
      <c r="G74" s="1" t="s">
        <v>114</v>
      </c>
      <c r="H74" s="1"/>
      <c r="I74" s="1"/>
      <c r="J74" s="1"/>
      <c r="K74" s="22">
        <f t="shared" ca="1" si="7"/>
        <v>46126</v>
      </c>
      <c r="L74" s="1">
        <f ca="1">IF(Tabla1[[#This Row],[ESTATUS]]="REALIZADO","", Tabla1[[#This Row],[FECHA ACTUAL]]-Tabla1[[#This Row],[FECHA INICIO]])</f>
        <v>7</v>
      </c>
      <c r="M74" s="1"/>
    </row>
    <row r="75" spans="1:13" ht="30" x14ac:dyDescent="0.25">
      <c r="A75" s="4" t="s">
        <v>231</v>
      </c>
      <c r="B75" s="5" t="s">
        <v>232</v>
      </c>
      <c r="C75" s="8">
        <v>46119</v>
      </c>
      <c r="D75" s="5" t="s">
        <v>219</v>
      </c>
      <c r="E75" s="5">
        <v>1</v>
      </c>
      <c r="F75" s="24" t="s">
        <v>109</v>
      </c>
      <c r="G75" s="5" t="s">
        <v>114</v>
      </c>
      <c r="H75" s="5"/>
      <c r="I75" s="5" t="s">
        <v>114</v>
      </c>
      <c r="J75" s="5"/>
      <c r="K75" s="23">
        <f t="shared" ca="1" si="7"/>
        <v>46126</v>
      </c>
      <c r="L75" s="5">
        <f ca="1">IF(Tabla1[[#This Row],[ESTATUS]]="REALIZADO","", Tabla1[[#This Row],[FECHA ACTUAL]]-Tabla1[[#This Row],[FECHA INICIO]])</f>
        <v>7</v>
      </c>
      <c r="M75" s="5"/>
    </row>
    <row r="76" spans="1:13" ht="30" x14ac:dyDescent="0.25">
      <c r="A76" s="4" t="s">
        <v>233</v>
      </c>
      <c r="B76" s="5" t="s">
        <v>234</v>
      </c>
      <c r="C76" s="8">
        <v>46120</v>
      </c>
      <c r="D76" s="10" t="s">
        <v>235</v>
      </c>
      <c r="E76" s="5">
        <v>4</v>
      </c>
      <c r="F76" s="24" t="s">
        <v>109</v>
      </c>
      <c r="G76" s="5" t="s">
        <v>114</v>
      </c>
      <c r="H76" s="5"/>
      <c r="I76" s="5"/>
      <c r="J76" s="5"/>
      <c r="K76" s="23">
        <f t="shared" ca="1" si="7"/>
        <v>46126</v>
      </c>
      <c r="L76" s="5">
        <f ca="1">IF(Tabla1[[#This Row],[ESTATUS]]="REALIZADO","", Tabla1[[#This Row],[FECHA ACTUAL]]-Tabla1[[#This Row],[FECHA INICIO]])</f>
        <v>6</v>
      </c>
      <c r="M76" s="5"/>
    </row>
    <row r="77" spans="1:13" ht="30" x14ac:dyDescent="0.25">
      <c r="A77" s="4" t="s">
        <v>236</v>
      </c>
      <c r="B77" s="5" t="s">
        <v>237</v>
      </c>
      <c r="C77" s="8">
        <v>46120</v>
      </c>
      <c r="D77" s="5" t="s">
        <v>238</v>
      </c>
      <c r="E77" s="5">
        <v>50</v>
      </c>
      <c r="F77" s="24" t="s">
        <v>109</v>
      </c>
      <c r="G77" s="5" t="s">
        <v>114</v>
      </c>
      <c r="H77" s="5"/>
      <c r="I77" s="5"/>
      <c r="J77" s="5"/>
      <c r="K77" s="23">
        <f t="shared" ca="1" si="7"/>
        <v>46126</v>
      </c>
      <c r="L77" s="5">
        <f ca="1">IF(Tabla1[[#This Row],[ESTATUS]]="REALIZADO","", Tabla1[[#This Row],[FECHA ACTUAL]]-Tabla1[[#This Row],[FECHA INICIO]])</f>
        <v>6</v>
      </c>
      <c r="M77" s="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AA86-2CDB-417B-8214-D6A68D774C5A}">
  <dimension ref="A2:M3"/>
  <sheetViews>
    <sheetView zoomScale="71" zoomScaleNormal="100" workbookViewId="0">
      <selection activeCell="B10" sqref="B10"/>
    </sheetView>
  </sheetViews>
  <sheetFormatPr baseColWidth="10" defaultColWidth="10.85546875" defaultRowHeight="15" x14ac:dyDescent="0.25"/>
  <cols>
    <col min="1" max="1" width="13.85546875" customWidth="1"/>
    <col min="2" max="2" width="68" customWidth="1"/>
    <col min="3" max="3" width="12.5703125" customWidth="1"/>
    <col min="4" max="4" width="19.7109375" customWidth="1"/>
    <col min="5" max="5" width="11.85546875" customWidth="1"/>
    <col min="6" max="6" width="27" customWidth="1"/>
    <col min="7" max="7" width="19.42578125" customWidth="1"/>
    <col min="8" max="8" width="13.85546875" customWidth="1"/>
    <col min="9" max="9" width="13.7109375" customWidth="1"/>
    <col min="10" max="10" width="19.140625" customWidth="1"/>
    <col min="11" max="11" width="15.7109375" customWidth="1"/>
    <col min="12" max="12" width="15.85546875" customWidth="1"/>
    <col min="13" max="13" width="18.140625" customWidth="1"/>
  </cols>
  <sheetData>
    <row r="2" spans="1:13" x14ac:dyDescent="0.25">
      <c r="A2" s="32" t="s">
        <v>0</v>
      </c>
      <c r="B2" s="33" t="s">
        <v>16</v>
      </c>
      <c r="C2" s="34" t="s">
        <v>32</v>
      </c>
      <c r="D2" s="33" t="s">
        <v>107</v>
      </c>
      <c r="E2" s="33" t="s">
        <v>66</v>
      </c>
      <c r="F2" s="35" t="s">
        <v>108</v>
      </c>
      <c r="G2" s="35" t="s">
        <v>110</v>
      </c>
      <c r="H2" s="36" t="s">
        <v>111</v>
      </c>
      <c r="I2" s="36" t="s">
        <v>112</v>
      </c>
      <c r="J2" s="35" t="s">
        <v>113</v>
      </c>
      <c r="K2" s="37" t="s">
        <v>117</v>
      </c>
      <c r="L2" s="37" t="s">
        <v>116</v>
      </c>
      <c r="M2" s="38" t="s">
        <v>164</v>
      </c>
    </row>
    <row r="3" spans="1:13" x14ac:dyDescent="0.25">
      <c r="A3" s="4" t="s">
        <v>202</v>
      </c>
      <c r="B3" s="5" t="s">
        <v>203</v>
      </c>
      <c r="C3" s="39">
        <v>46105</v>
      </c>
      <c r="D3" s="40"/>
      <c r="E3" s="41" t="s">
        <v>153</v>
      </c>
      <c r="F3" s="42" t="s">
        <v>204</v>
      </c>
      <c r="G3" s="42" t="s">
        <v>114</v>
      </c>
      <c r="H3" s="43"/>
      <c r="I3" s="43"/>
      <c r="J3" s="43"/>
      <c r="K3" s="44">
        <f ca="1">TODAY()</f>
        <v>46126</v>
      </c>
      <c r="L3" s="40">
        <f ca="1">IF(Table2[[#This Row],[IN SITE/REALIZADO]]="REALIZADO","", Table2[[#This Row],[FECHA ACTUAL]]-Table2[[#This Row],[FECHA INIC]])</f>
        <v>21</v>
      </c>
      <c r="M3" s="4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HECTOR CEDILLO</vt:lpstr>
      <vt:lpstr>TAISSIR MONDRAGÓN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Juarez, Ethan Mijail</dc:creator>
  <cp:lastModifiedBy>Ethan Chavez</cp:lastModifiedBy>
  <dcterms:created xsi:type="dcterms:W3CDTF">2026-01-07T16:16:55Z</dcterms:created>
  <dcterms:modified xsi:type="dcterms:W3CDTF">2026-04-14T17:05:22Z</dcterms:modified>
</cp:coreProperties>
</file>